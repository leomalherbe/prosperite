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Validation" sheetId="2" state="visible" r:id="rId2"/>
    <sheet xmlns:r="http://schemas.openxmlformats.org/officeDocument/2006/relationships" name="Synthèse" sheetId="3" state="visible" r:id="rId3"/>
  </sheets>
  <definedNames>
    <definedName name="_xlnm._FilterDatabase" localSheetId="1" hidden="1">'Validation'!$A$1:$U$51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i val="1"/>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session mère</author>
  </authors>
  <commentList>
    <comment ref="T1" authorId="0" shapeId="0">
      <text>
        <t>À remplir seulement si vous divergez de la décision par défaut. Liste : retenu, retenu_socle, ecarte, a_discuter.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Gel 2 — validation des indicateurs de la dimension « Santé »</t>
        </is>
      </c>
    </row>
    <row r="2">
      <c r="A2" s="2" t="inlineStr"/>
    </row>
    <row r="3">
      <c r="A3" s="3" t="inlineStr">
        <is>
          <t>Comment remplir ce classeur (validation par exception, charte §3.6, décision D20)</t>
        </is>
      </c>
    </row>
    <row r="4">
      <c r="A4" s="2" t="inlineStr">
        <is>
          <t>1. Ouvrez l'onglet « Validation ». Chaque ligne est un indicateur candidat (une fiche YAML dans le dépôt), regroupé par sous-thème puis par famille ; la variante principale de chaque famille est en tête.</t>
        </is>
      </c>
    </row>
    <row r="5">
      <c r="A5" s="2" t="inlineStr">
        <is>
          <t>2. Les colonnes grises sont informatives. La colonne « Recommandation de l'agent » et son motif résument l'analyse ; la colonne « Décision par défaut » indique ce qui s'appliquera si vous ne remplissez rien.</t>
        </is>
      </c>
    </row>
    <row r="6">
      <c r="A6" s="2" t="inlineStr">
        <is>
          <t xml:space="preserve">   « Socle proposé » = oui : l'agent propose de cocher l'indicateur par défaut (décision D41 : les incontournables et une fiche principale par sous-thème de la dimension, 8 au plus) ; sa décision par défaut est alors retenu_socle. L'onglet « Synthèse » compte le socle par sous-thème.</t>
        </is>
      </c>
    </row>
    <row r="7">
      <c r="A7" s="2" t="inlineStr">
        <is>
          <t>3. Ne remplissez la colonne jaune « Votre décision » que là où vous divergez ou hésitez. Valeurs possibles (liste déroulante) :</t>
        </is>
      </c>
    </row>
    <row r="8">
      <c r="A8" s="2" t="inlineStr">
        <is>
          <t xml:space="preserve">     retenu = disponible dans l'outil, non coché par défaut ;</t>
        </is>
      </c>
    </row>
    <row r="9">
      <c r="A9" s="2" t="inlineStr">
        <is>
          <t xml:space="preserve">     retenu_socle = disponible ET coché par défaut dans la configuration de référence ;</t>
        </is>
      </c>
    </row>
    <row r="10">
      <c r="A10" s="2" t="inlineStr">
        <is>
          <t xml:space="preserve">     ecarte = non retenu (indiquez pourquoi dans le commentaire) ;</t>
        </is>
      </c>
    </row>
    <row r="11">
      <c r="A11" s="2" t="inlineStr">
        <is>
          <t xml:space="preserve">     a_discuter = vous voulez en parler avant de trancher (la session mère vous posera la question).</t>
        </is>
      </c>
    </row>
    <row r="12">
      <c r="A12" s="2" t="inlineStr">
        <is>
          <t>4. Le commentaire est libre ; il est lu et conservé dans la fiche.</t>
        </is>
      </c>
    </row>
    <row r="13">
      <c r="A13" s="2" t="inlineStr">
        <is>
          <t>5. Enregistrez le fichier au même endroit, sous le même nom : la session mère le relit automatiquement.</t>
        </is>
      </c>
    </row>
    <row r="14">
      <c r="A14" s="2" t="inlineStr"/>
    </row>
    <row r="15">
      <c r="A15" s="3" t="inlineStr">
        <is>
          <t>Rappels</t>
        </is>
      </c>
    </row>
    <row r="16">
      <c r="A16" s="2" t="inlineStr">
        <is>
          <t>— Une famille regroupe des variantes d'un même concept (autre seuil, autre source, ventilation) : en général une seule variante est cochée par défaut.</t>
        </is>
      </c>
    </row>
    <row r="17">
      <c r="A17" s="2" t="inlineStr">
        <is>
          <t>— Le socle est une proposition : pour l'élargir, mettez retenu_socle sur d'autres lignes ; pour le réduire, mettez retenu sur une ligne proposée.</t>
        </is>
      </c>
    </row>
    <row r="18">
      <c r="A18" s="2" t="inlineStr">
        <is>
          <t>— « Incontournable » = présent dans au moins trois cadres de référence (Doughnut, Stiglitz-Sen-Fitoussi, OCDE, Eurostat, INSEE).</t>
        </is>
      </c>
    </row>
    <row r="19">
      <c r="A19" s="2" t="inlineStr">
        <is>
          <t>— « Déclaratif » = donnée d'enquête d'opinion ou de ressenti ; « Composite » = indice agrégé d'un producteur tiers (V-Dem, CPI…).</t>
        </is>
      </c>
    </row>
    <row r="20">
      <c r="A20" s="2" t="inlineStr">
        <is>
          <t>— Sens « ambigu » : l'agent n'a pas pu établir si plus haut est mieux ; ces lignes sont écartées par défaut.</t>
        </is>
      </c>
    </row>
    <row r="21">
      <c r="A21" s="2" t="inlineStr">
        <is>
          <t>— Les bornes (seuil minimal, objectif) ne sont pas traitées ici : elles viendront après le gel 2 (socle v1).</t>
        </is>
      </c>
    </row>
    <row r="22">
      <c r="A22" s="2" t="inlineStr"/>
    </row>
    <row r="23">
      <c r="A23" s="2" t="inlineStr">
        <is>
          <t>Exemple de ligne remplie : décision « ecarte », commentaire « doublon de la série INSEE équivalente ; garder la variante INSEE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8" customWidth="1" min="3" max="3"/>
    <col width="44" customWidth="1" min="4" max="4"/>
    <col width="11" customWidth="1" min="5" max="5"/>
    <col width="60" customWidth="1" min="6" max="6"/>
    <col width="8" customWidth="1" min="7" max="7"/>
    <col width="18" customWidth="1" min="8" max="8"/>
    <col width="36" customWidth="1" min="9" max="9"/>
    <col width="30" customWidth="1" min="10" max="10"/>
    <col width="22" customWidth="1" min="11" max="11"/>
    <col width="10" customWidth="1" min="12" max="12"/>
    <col width="10" customWidth="1" min="13" max="13"/>
    <col width="10" customWidth="1" min="14" max="14"/>
    <col width="13" customWidth="1" min="15" max="15"/>
    <col width="11" customWidth="1" min="16" max="16"/>
    <col width="16" customWidth="1" min="17" max="17"/>
    <col width="70" customWidth="1" min="18" max="18"/>
    <col width="18" customWidth="1" min="19" max="19"/>
    <col width="20" customWidth="1" min="20" max="20"/>
    <col width="40" customWidth="1" min="21" max="21"/>
  </cols>
  <sheetData>
    <row r="1" ht="42" customHeight="1">
      <c r="A1" s="4" t="inlineStr">
        <is>
          <t>Sous-thème</t>
        </is>
      </c>
      <c r="B1" s="4" t="inlineStr">
        <is>
          <t>Famille</t>
        </is>
      </c>
      <c r="C1" s="4" t="inlineStr">
        <is>
          <t>Identifiant</t>
        </is>
      </c>
      <c r="D1" s="4" t="inlineStr">
        <is>
          <t>Libellé</t>
        </is>
      </c>
      <c r="E1" s="4" t="inlineStr">
        <is>
          <t>Variante principale</t>
        </is>
      </c>
      <c r="F1" s="4" t="inlineStr">
        <is>
          <t>Définition courte</t>
        </is>
      </c>
      <c r="G1" s="4" t="inlineStr">
        <is>
          <t>Sens</t>
        </is>
      </c>
      <c r="H1" s="4" t="inlineStr">
        <is>
          <t>Unité</t>
        </is>
      </c>
      <c r="I1" s="4" t="inlineStr">
        <is>
          <t>Source</t>
        </is>
      </c>
      <c r="J1" s="4" t="inlineStr">
        <is>
          <t>Série (identifiant)</t>
        </is>
      </c>
      <c r="K1" s="4" t="inlineStr">
        <is>
          <t>Période</t>
        </is>
      </c>
      <c r="L1" s="4" t="inlineStr">
        <is>
          <t>Type</t>
        </is>
      </c>
      <c r="M1" s="4" t="inlineStr">
        <is>
          <t>Déclaratif</t>
        </is>
      </c>
      <c r="N1" s="4" t="inlineStr">
        <is>
          <t>Composite</t>
        </is>
      </c>
      <c r="O1" s="4" t="inlineStr">
        <is>
          <t>Incontournable</t>
        </is>
      </c>
      <c r="P1" s="4" t="inlineStr">
        <is>
          <t>Socle proposé</t>
        </is>
      </c>
      <c r="Q1" s="4" t="inlineStr">
        <is>
          <t>Recommandation de l'agent</t>
        </is>
      </c>
      <c r="R1" s="4" t="inlineStr">
        <is>
          <t>Motif de la recommandation</t>
        </is>
      </c>
      <c r="S1" s="4" t="inlineStr">
        <is>
          <t>Décision par défaut (si vous ne remplissez rien)</t>
        </is>
      </c>
      <c r="T1" s="4" t="inlineStr">
        <is>
          <t>Votre décision (liste déroulante)</t>
        </is>
      </c>
      <c r="U1" s="4" t="inlineStr">
        <is>
          <t>Votre commentaire</t>
        </is>
      </c>
    </row>
    <row r="2" ht="60" customHeight="1">
      <c r="A2" s="5" t="inlineStr">
        <is>
          <t>accès aux soins</t>
        </is>
      </c>
      <c r="B2" s="5" t="inlineStr">
        <is>
          <t>besoins_soins_dentaires</t>
        </is>
      </c>
      <c r="C2" s="6" t="inlineStr">
        <is>
          <t>besoins_soins_dentaires_non_satisfaits</t>
        </is>
      </c>
      <c r="D2" s="5" t="inlineStr">
        <is>
          <t>Besoins de soins dentaires non satisfaits</t>
        </is>
      </c>
      <c r="E2" s="5" t="inlineStr">
        <is>
          <t>oui</t>
        </is>
      </c>
      <c r="F2" s="5" t="inlineStr">
        <is>
          <t>Part des personnes de 16 ans ou plus déclarant avoir eu besoin d'un examen ou d'un traitement dentaire sans l'obtenir parce qu'il était trop cher, trop éloigné ou à cause d'une liste d'attente (enquête SRCV).</t>
        </is>
      </c>
      <c r="G2" s="5" t="inlineStr">
        <is>
          <t>bas</t>
        </is>
      </c>
      <c r="H2" s="5" t="inlineStr">
        <is>
          <t>% des 16 ans ou plus</t>
        </is>
      </c>
      <c r="I2" s="5" t="inlineStr">
        <is>
          <t>Eurostat (d'après l'INSEE, enquête SRCV) — hlth_silc_09 (besoins dentaires non satisfaits par raison principale)</t>
        </is>
      </c>
      <c r="J2" s="5" t="inlineStr">
        <is>
          <t>hlth_silc_09?freq=A&amp;unit=PC&amp;quant_inc=TOTAL&amp;reason=TXP_TFAR_WLIST&amp;age=Y_GE16&amp;sex=T&amp;geo=FR</t>
        </is>
      </c>
      <c r="K2" s="5" t="inlineStr">
        <is>
          <t>2008-2025 (18 points, annuelle)</t>
        </is>
      </c>
      <c r="L2" s="5" t="inlineStr">
        <is>
          <t>resultat</t>
        </is>
      </c>
      <c r="M2" s="5" t="inlineStr">
        <is>
          <t>non</t>
        </is>
      </c>
      <c r="N2" s="5" t="inlineStr">
        <is>
          <t>non</t>
        </is>
      </c>
      <c r="O2" s="5" t="inlineStr">
        <is>
          <t>non</t>
        </is>
      </c>
      <c r="P2" s="5" t="inlineStr">
        <is>
          <t>non</t>
        </is>
      </c>
      <c r="Q2" s="5" t="inlineStr">
        <is>
          <t>retenir</t>
        </is>
      </c>
      <c r="R2" s="5" t="inlineStr">
        <is>
          <t>Soins les plus souvent non obtenus, annuels de 2008 à 2025 (4,2 % en 2008, 7,0 % en 2024, 6,5 % en 2025), concept distinct des soins médicaux et non substituable (D35).</t>
        </is>
      </c>
      <c r="S2" s="5" t="inlineStr">
        <is>
          <t>retenu</t>
        </is>
      </c>
      <c r="T2" s="7" t="inlineStr"/>
      <c r="U2" s="7" t="inlineStr"/>
    </row>
    <row r="3" ht="60" customHeight="1">
      <c r="A3" s="5" t="inlineStr">
        <is>
          <t>accès aux soins</t>
        </is>
      </c>
      <c r="B3" s="5" t="inlineStr">
        <is>
          <t>besoins_soins_non_satisfaits</t>
        </is>
      </c>
      <c r="C3" s="6" t="inlineStr">
        <is>
          <t>besoins_soins_non_satisfaits</t>
        </is>
      </c>
      <c r="D3" s="5" t="inlineStr">
        <is>
          <t>Besoins de soins médicaux non satisfaits</t>
        </is>
      </c>
      <c r="E3" s="5" t="inlineStr">
        <is>
          <t>oui</t>
        </is>
      </c>
      <c r="F3" s="5" t="inlineStr">
        <is>
          <t>Part des personnes de 16 ans ou plus déclarant avoir eu besoin d'un examen ou d'un traitement médical au cours des 12 derniers mois sans l'obtenir parce qu'il était trop cher, trop éloigné ou à cause d'une liste …</t>
        </is>
      </c>
      <c r="G3" s="5" t="inlineStr">
        <is>
          <t>bas</t>
        </is>
      </c>
      <c r="H3" s="5" t="inlineStr">
        <is>
          <t>% des 16 ans ou plus</t>
        </is>
      </c>
      <c r="I3" s="5" t="inlineStr">
        <is>
          <t>Eurostat (d'après l'INSEE, enquête SRCV) — sdg_03_60 (besoins auto-déclarés de traitement médical non satisfaits)</t>
        </is>
      </c>
      <c r="J3" s="5" t="inlineStr">
        <is>
          <t>sdg_03_60?freq=A&amp;age=Y_GE16&amp;sex=T&amp;reason=TXP_TFAR_WLIST&amp;unit=PC&amp;quant_inc=TOTAL&amp;geo=FR</t>
        </is>
      </c>
      <c r="K3" s="5" t="inlineStr">
        <is>
          <t>2008-2025 (18 points, annuelle)</t>
        </is>
      </c>
      <c r="L3" s="5" t="inlineStr">
        <is>
          <t>resultat</t>
        </is>
      </c>
      <c r="M3" s="5" t="inlineStr">
        <is>
          <t>non</t>
        </is>
      </c>
      <c r="N3" s="5" t="inlineStr">
        <is>
          <t>non</t>
        </is>
      </c>
      <c r="O3" s="5" t="inlineStr">
        <is>
          <t>non</t>
        </is>
      </c>
      <c r="P3" s="5" t="inlineStr">
        <is>
          <t>oui</t>
        </is>
      </c>
      <c r="Q3" s="5" t="inlineStr">
        <is>
          <t>retenir</t>
        </is>
      </c>
      <c r="R3" s="5" t="inlineStr">
        <is>
          <t>Indicateur du tableau de bord ODD de l'UE et du cadre Qualité de vie d'Eurostat, annuel de 2008 à 2025 (1,9 % en 2008, 4,1 % en 2024, 3,7 % en 2025).</t>
        </is>
      </c>
      <c r="S3" s="5" t="inlineStr">
        <is>
          <t>retenu_socle</t>
        </is>
      </c>
      <c r="T3" s="7" t="inlineStr"/>
      <c r="U3" s="7" t="inlineStr"/>
    </row>
    <row r="4" ht="60" customHeight="1">
      <c r="A4" s="5" t="inlineStr">
        <is>
          <t>accès aux soins</t>
        </is>
      </c>
      <c r="B4" s="5" t="inlineStr">
        <is>
          <t>besoins_soins_non_satisfaits</t>
        </is>
      </c>
      <c r="C4" s="5" t="inlineStr">
        <is>
          <t>couverture_sanitaire_universelle</t>
        </is>
      </c>
      <c r="D4" s="5" t="inlineStr">
        <is>
          <t>Indice de couverture des services de santé essentiels (OMS)</t>
        </is>
      </c>
      <c r="E4" s="5" t="inlineStr">
        <is>
          <t>non</t>
        </is>
      </c>
      <c r="F4" s="5" t="inlineStr">
        <is>
          <t>Indice de 0 à 100 de couverture des services de santé essentiels (santé reproductive et infantile, maladies infectieuses, maladies non transmissibles, capacité et accès aux services), indicateur ODD 3.8.1 calculé par …</t>
        </is>
      </c>
      <c r="G4" s="5" t="inlineStr">
        <is>
          <t>haut</t>
        </is>
      </c>
      <c r="H4" s="5" t="inlineStr">
        <is>
          <t>indice (0 à 100)</t>
        </is>
      </c>
      <c r="I4" s="5" t="inlineStr">
        <is>
          <t>OCDE (d'après l'OMS) — Base ODD de l'OCDE, objectif 3 (indicateur 3.8.1)</t>
        </is>
      </c>
      <c r="J4" s="5" t="inlineStr">
        <is>
          <t>odd_3 : 3_8_1_SH_ACS_UNHC._T._T._T._T._T.IX</t>
        </is>
      </c>
      <c r="K4" s="5" t="inlineStr">
        <is>
          <t>2000-2021 (7 points, irreguliere)</t>
        </is>
      </c>
      <c r="L4" s="5" t="inlineStr">
        <is>
          <t>resultat</t>
        </is>
      </c>
      <c r="M4" s="5" t="inlineStr">
        <is>
          <t>non</t>
        </is>
      </c>
      <c r="N4" s="5" t="inlineStr">
        <is>
          <t>oui</t>
        </is>
      </c>
      <c r="O4" s="5" t="inlineStr">
        <is>
          <t>non</t>
        </is>
      </c>
      <c r="P4" s="5" t="inlineStr">
        <is>
          <t>non</t>
        </is>
      </c>
      <c r="Q4" s="5" t="inlineStr">
        <is>
          <t>retenir_variante</t>
        </is>
      </c>
      <c r="R4" s="5" t="inlineStr">
        <is>
          <t>Indicateur du Doughnut (seuil de privation à 60) et de la cible ODD 3.8, 7 années de 2000 à 2021 (85 en 2021) admises comme série irrégulière (D17).</t>
        </is>
      </c>
      <c r="S4" s="5" t="inlineStr">
        <is>
          <t>retenu</t>
        </is>
      </c>
      <c r="T4" s="7" t="inlineStr"/>
      <c r="U4" s="7" t="inlineStr"/>
    </row>
    <row r="5" ht="60" customHeight="1">
      <c r="A5" s="5" t="inlineStr">
        <is>
          <t>accès aux soins</t>
        </is>
      </c>
      <c r="B5" s="5" t="inlineStr">
        <is>
          <t>besoins_soins_non_satisfaits</t>
        </is>
      </c>
      <c r="C5" s="5" t="inlineStr">
        <is>
          <t>renoncement_soins_financier</t>
        </is>
      </c>
      <c r="D5" s="5" t="inlineStr">
        <is>
          <t>Renoncement aux soins médicaux pour raisons financières</t>
        </is>
      </c>
      <c r="E5" s="5" t="inlineStr">
        <is>
          <t>non</t>
        </is>
      </c>
      <c r="F5" s="5" t="inlineStr">
        <is>
          <t>Part des personnes de 16 ans ou plus déclarant avoir renoncé à un examen ou à un traitement médical dont elles avaient besoin parce qu'il était trop cher (enquête SRCV, volet français d'EU-SILC).</t>
        </is>
      </c>
      <c r="G5" s="5" t="inlineStr">
        <is>
          <t>bas</t>
        </is>
      </c>
      <c r="H5" s="5" t="inlineStr">
        <is>
          <t>% des 16 ans ou plus</t>
        </is>
      </c>
      <c r="I5" s="5" t="inlineStr">
        <is>
          <t>Eurostat (d'après l'INSEE, enquête SRCV) — hlth_silc_08 (besoins non satisfaits par raison principale), raison « trop cher »</t>
        </is>
      </c>
      <c r="J5" s="5" t="inlineStr">
        <is>
          <t>hlth_silc_08?freq=A&amp;unit=PC&amp;quant_inc=TOTAL&amp;reason=TXP&amp;age=Y_GE16&amp;sex=T&amp;geo=FR</t>
        </is>
      </c>
      <c r="K5" s="5" t="inlineStr">
        <is>
          <t>2008-2025 (18 points, annuelle)</t>
        </is>
      </c>
      <c r="L5" s="5" t="inlineStr">
        <is>
          <t>resultat</t>
        </is>
      </c>
      <c r="M5" s="5" t="inlineStr">
        <is>
          <t>non</t>
        </is>
      </c>
      <c r="N5" s="5" t="inlineStr">
        <is>
          <t>non</t>
        </is>
      </c>
      <c r="O5" s="5" t="inlineStr">
        <is>
          <t>non</t>
        </is>
      </c>
      <c r="P5" s="5" t="inlineStr">
        <is>
          <t>non</t>
        </is>
      </c>
      <c r="Q5" s="5" t="inlineStr">
        <is>
          <t>retenir_variante</t>
        </is>
      </c>
      <c r="R5" s="5" t="inlineStr">
        <is>
          <t>Composante financière des besoins non satisfaits, annuelle de 2008 à 2025 (1,6 % en 2008, 1,9 % en 2025), identique sur 2010-2023 à l'indicateur national ODD 3.i7a de l'INSEE.</t>
        </is>
      </c>
      <c r="S5" s="5" t="inlineStr">
        <is>
          <t>retenu</t>
        </is>
      </c>
      <c r="T5" s="7" t="inlineStr"/>
      <c r="U5" s="7" t="inlineStr"/>
    </row>
    <row r="6" ht="60" customHeight="1">
      <c r="A6" s="5" t="inlineStr">
        <is>
          <t>accès aux soins</t>
        </is>
      </c>
      <c r="B6" s="5" t="inlineStr">
        <is>
          <t>densite_medecins</t>
        </is>
      </c>
      <c r="C6" s="6" t="inlineStr">
        <is>
          <t>densite_medecins_generalistes</t>
        </is>
      </c>
      <c r="D6" s="5" t="inlineStr">
        <is>
          <t>Densité de médecins généralistes</t>
        </is>
      </c>
      <c r="E6" s="5" t="inlineStr">
        <is>
          <t>oui</t>
        </is>
      </c>
      <c r="F6" s="5" t="inlineStr">
        <is>
          <t>Nombre de médecins généralistes en activité pour 100 000 habitants, France (INSEE d'après le répertoire RPPS, DREES).</t>
        </is>
      </c>
      <c r="G6" s="5" t="inlineStr">
        <is>
          <t>haut</t>
        </is>
      </c>
      <c r="H6" s="5" t="inlineStr">
        <is>
          <t>médecins pour 100 000 habitants</t>
        </is>
      </c>
      <c r="I6" s="5" t="inlineStr">
        <is>
          <t>INSEE (d'après la DREES, RPPS) — Densité des professionnels de santé (BDM)</t>
        </is>
      </c>
      <c r="J6" s="5" t="inlineStr">
        <is>
          <t>010761075</t>
        </is>
      </c>
      <c r="K6" s="5" t="inlineStr">
        <is>
          <t>2012-2025 (14 points, annuelle)</t>
        </is>
      </c>
      <c r="L6" s="5" t="inlineStr">
        <is>
          <t>moyen</t>
        </is>
      </c>
      <c r="M6" s="5" t="inlineStr">
        <is>
          <t>non</t>
        </is>
      </c>
      <c r="N6" s="5" t="inlineStr">
        <is>
          <t>non</t>
        </is>
      </c>
      <c r="O6" s="5" t="inlineStr">
        <is>
          <t>non</t>
        </is>
      </c>
      <c r="P6" s="5" t="inlineStr">
        <is>
          <t>non</t>
        </is>
      </c>
      <c r="Q6" s="5" t="inlineStr">
        <is>
          <t>retenir</t>
        </is>
      </c>
      <c r="R6" s="5" t="inlineStr">
        <is>
          <t>Mesure de l'offre de soins de premier recours admise comme moyen (D19), annuelle de 2012 à 2025 (155 pour 100 000 en 2012, 145 en 2024, 146 en 2025), en baisse sur la période.</t>
        </is>
      </c>
      <c r="S6" s="5" t="inlineStr">
        <is>
          <t>retenu</t>
        </is>
      </c>
      <c r="T6" s="7" t="inlineStr"/>
      <c r="U6" s="7" t="inlineStr"/>
    </row>
    <row r="7" ht="60" customHeight="1">
      <c r="A7" s="5" t="inlineStr">
        <is>
          <t>accès aux soins</t>
        </is>
      </c>
      <c r="B7" s="5" t="inlineStr">
        <is>
          <t>manque_medecins_percu</t>
        </is>
      </c>
      <c r="C7" s="6" t="inlineStr">
        <is>
          <t>manque_medecins_percu</t>
        </is>
      </c>
      <c r="D7" s="5" t="inlineStr">
        <is>
          <t>Personnes estimant manquer de médecins généralistes à proximité</t>
        </is>
      </c>
      <c r="E7" s="5" t="inlineStr">
        <is>
          <t>oui</t>
        </is>
      </c>
      <c r="F7" s="5" t="inlineStr">
        <is>
          <t>Part des personnes interrogées par le baromètre d'opinion de la DREES qui estiment qu'il n'y a « pas assez » de médecins généralistes à proximité de chez elles (question SA09_1, modalité 3, non-réponses au dénominateur, …</t>
        </is>
      </c>
      <c r="G7" s="5" t="inlineStr">
        <is>
          <t>bas</t>
        </is>
      </c>
      <c r="H7" s="5" t="inlineStr">
        <is>
          <t>% des répondants</t>
        </is>
      </c>
      <c r="I7" s="5" t="inlineStr">
        <is>
          <t>DREES (baromètre d'opinion) — Baromètre d'opinion de la DREES (data.drees, jeu 431_le-barometre-d-opinion), microdonnées pondérées</t>
        </is>
      </c>
      <c r="J7" s="5" t="inlineStr">
        <is>
          <t>data.drees.solidarites-sante.gouv.fr, jeu 431_le-barometre-d-opinion, pièce jointe barometre2000_2025_diff_csv ; variable SA09_1, modalités 3</t>
        </is>
      </c>
      <c r="K7" s="5" t="inlineStr">
        <is>
          <t>2002-2025 (11 points, irreguliere)</t>
        </is>
      </c>
      <c r="L7" s="5" t="inlineStr">
        <is>
          <t>resultat</t>
        </is>
      </c>
      <c r="M7" s="5" t="inlineStr">
        <is>
          <t>oui</t>
        </is>
      </c>
      <c r="N7" s="5" t="inlineStr">
        <is>
          <t>non</t>
        </is>
      </c>
      <c r="O7" s="5" t="inlineStr">
        <is>
          <t>non</t>
        </is>
      </c>
      <c r="P7" s="5" t="inlineStr">
        <is>
          <t>non</t>
        </is>
      </c>
      <c r="Q7" s="5" t="inlineStr">
        <is>
          <t>retenir</t>
        </is>
      </c>
      <c r="R7" s="5" t="inlineStr">
        <is>
          <t>Seule mesure ressentie de l'offre de soins de proximité, 11 vagues de 2002 à 2025 (20,7 % en 2002, 55,8 % en 2025), valeur 2025 recoupée sur le tableau officiel de la DREES (55,76 %).</t>
        </is>
      </c>
      <c r="S7" s="5" t="inlineStr">
        <is>
          <t>retenu</t>
        </is>
      </c>
      <c r="T7" s="7" t="inlineStr"/>
      <c r="U7" s="7" t="inlineStr"/>
    </row>
    <row r="8" ht="60" customHeight="1">
      <c r="A8" s="5" t="inlineStr">
        <is>
          <t>accès aux soins</t>
        </is>
      </c>
      <c r="B8" s="5" t="inlineStr">
        <is>
          <t>reste_a_charge_menages</t>
        </is>
      </c>
      <c r="C8" s="6" t="inlineStr">
        <is>
          <t>reste_a_charge_menages</t>
        </is>
      </c>
      <c r="D8" s="5" t="inlineStr">
        <is>
          <t>Part des paiements directs des ménages dans la dépense de santé</t>
        </is>
      </c>
      <c r="E8" s="5" t="inlineStr">
        <is>
          <t>oui</t>
        </is>
      </c>
      <c r="F8" s="5" t="inlineStr">
        <is>
          <t>Paiements directs des ménages (reste à charge après assurance maladie obligatoire et complémentaire) en pourcentage de la dépense courante de santé, France (comptes de la santé, système SHA).</t>
        </is>
      </c>
      <c r="G8" s="5" t="inlineStr">
        <is>
          <t>bas</t>
        </is>
      </c>
      <c r="H8" s="5" t="inlineStr">
        <is>
          <t>% de la dépense courante de santé</t>
        </is>
      </c>
      <c r="I8" s="5" t="inlineStr">
        <is>
          <t>Eurostat (d'après la DREES, comptes de la santé) — hlth_sha11_hf (dépenses de santé par mécanisme de financement), HF3</t>
        </is>
      </c>
      <c r="J8" s="5" t="inlineStr">
        <is>
          <t>hlth_sha11_hf?freq=A&amp;unit=PC_CHE&amp;icha11_hf=HF3&amp;geo=FR</t>
        </is>
      </c>
      <c r="K8" s="5" t="inlineStr">
        <is>
          <t>2006-2025 (20 points, annuelle)</t>
        </is>
      </c>
      <c r="L8" s="5" t="inlineStr">
        <is>
          <t>moyen</t>
        </is>
      </c>
      <c r="M8" s="5" t="inlineStr">
        <is>
          <t>non</t>
        </is>
      </c>
      <c r="N8" s="5" t="inlineStr">
        <is>
          <t>non</t>
        </is>
      </c>
      <c r="O8" s="5" t="inlineStr">
        <is>
          <t>non</t>
        </is>
      </c>
      <c r="P8" s="5" t="inlineStr">
        <is>
          <t>non</t>
        </is>
      </c>
      <c r="Q8" s="5" t="inlineStr">
        <is>
          <t>retenir</t>
        </is>
      </c>
      <c r="R8" s="5" t="inlineStr">
        <is>
          <t>Mesure de la protection financière des ménages face aux soins, annuelle de 2006 à 2025 (9,36 % en 2006, 11,96 % en 2010, 10,32 % en 2025, provisoire), qui complète le renoncement pour raisons financières.</t>
        </is>
      </c>
      <c r="S8" s="5" t="inlineStr">
        <is>
          <t>retenu</t>
        </is>
      </c>
      <c r="T8" s="7" t="inlineStr"/>
      <c r="U8" s="7" t="inlineStr"/>
    </row>
    <row r="9" ht="60" customHeight="1">
      <c r="A9" s="5" t="inlineStr">
        <is>
          <t>causes de décès</t>
        </is>
      </c>
      <c r="B9" s="5" t="inlineStr">
        <is>
          <t>mortalite_cancer</t>
        </is>
      </c>
      <c r="C9" s="6" t="inlineStr">
        <is>
          <t>mortalite_cancer</t>
        </is>
      </c>
      <c r="D9" s="5" t="inlineStr">
        <is>
          <t>Mortalité par cancer</t>
        </is>
      </c>
      <c r="E9" s="5" t="inlineStr">
        <is>
          <t>oui</t>
        </is>
      </c>
      <c r="F9" s="5" t="inlineStr">
        <is>
          <t>Taux standardisé de mortalité par tumeurs malignes (CIM-10 C00-C97), tous âges, France (population standard européenne 2013).</t>
        </is>
      </c>
      <c r="G9" s="5" t="inlineStr">
        <is>
          <t>bas</t>
        </is>
      </c>
      <c r="H9" s="5" t="inlineStr">
        <is>
          <t>décès pour 100 000 habitants (taux standardisé)</t>
        </is>
      </c>
      <c r="I9" s="5" t="inlineStr">
        <is>
          <t>Eurostat (d'après l'INSEE-CépiDc) — hlth_cd_asdr2 (causes de décès, taux standardisés)</t>
        </is>
      </c>
      <c r="J9" s="5" t="inlineStr">
        <is>
          <t>hlth_cd_asdr2?freq=A&amp;unit=RT&amp;sex=T&amp;age=TOTAL&amp;icd10=C&amp;geo=FR</t>
        </is>
      </c>
      <c r="K9" s="5" t="inlineStr">
        <is>
          <t>2011-2023 (13 points, annuelle)</t>
        </is>
      </c>
      <c r="L9" s="5" t="inlineStr">
        <is>
          <t>resultat</t>
        </is>
      </c>
      <c r="M9" s="5" t="inlineStr">
        <is>
          <t>non</t>
        </is>
      </c>
      <c r="N9" s="5" t="inlineStr">
        <is>
          <t>non</t>
        </is>
      </c>
      <c r="O9" s="5" t="inlineStr">
        <is>
          <t>non</t>
        </is>
      </c>
      <c r="P9" s="5" t="inlineStr">
        <is>
          <t>non</t>
        </is>
      </c>
      <c r="Q9" s="5" t="inlineStr">
        <is>
          <t>retenir</t>
        </is>
      </c>
      <c r="R9" s="5" t="inlineStr">
        <is>
          <t>Première cause de décès en taux standardisé sur toute la période 2011-2023 (253,11 pour 100 000 en 2011, 218,58 en 2023), série annuelle sans drapeau.</t>
        </is>
      </c>
      <c r="S9" s="5" t="inlineStr">
        <is>
          <t>retenu</t>
        </is>
      </c>
      <c r="T9" s="7" t="inlineStr"/>
      <c r="U9" s="7" t="inlineStr"/>
    </row>
    <row r="10" ht="60" customHeight="1">
      <c r="A10" s="5" t="inlineStr">
        <is>
          <t>causes de décès</t>
        </is>
      </c>
      <c r="B10" s="5" t="inlineStr">
        <is>
          <t>mortalite_cardiovasculaire</t>
        </is>
      </c>
      <c r="C10" s="6" t="inlineStr">
        <is>
          <t>mortalite_cardiovasculaire</t>
        </is>
      </c>
      <c r="D10" s="5" t="inlineStr">
        <is>
          <t>Mortalité par maladies cardiovasculaires</t>
        </is>
      </c>
      <c r="E10" s="5" t="inlineStr">
        <is>
          <t>oui</t>
        </is>
      </c>
      <c r="F10" s="5" t="inlineStr">
        <is>
          <t>Taux standardisé de mortalité par maladies de l'appareil circulatoire (CIM-10 I00-I99), tous âges, France (population standard européenne 2013).</t>
        </is>
      </c>
      <c r="G10" s="5" t="inlineStr">
        <is>
          <t>bas</t>
        </is>
      </c>
      <c r="H10" s="5" t="inlineStr">
        <is>
          <t>décès pour 100 000 habitants (taux standardisé)</t>
        </is>
      </c>
      <c r="I10" s="5" t="inlineStr">
        <is>
          <t>Eurostat (d'après l'INSEE-CépiDc) — hlth_cd_asdr2 (causes de décès, taux standardisés)</t>
        </is>
      </c>
      <c r="J10" s="5" t="inlineStr">
        <is>
          <t>hlth_cd_asdr2?freq=A&amp;unit=RT&amp;sex=T&amp;age=TOTAL&amp;icd10=I&amp;geo=FR</t>
        </is>
      </c>
      <c r="K10" s="5" t="inlineStr">
        <is>
          <t>2011-2023 (13 points, annuelle)</t>
        </is>
      </c>
      <c r="L10" s="5" t="inlineStr">
        <is>
          <t>resultat</t>
        </is>
      </c>
      <c r="M10" s="5" t="inlineStr">
        <is>
          <t>non</t>
        </is>
      </c>
      <c r="N10" s="5" t="inlineStr">
        <is>
          <t>non</t>
        </is>
      </c>
      <c r="O10" s="5" t="inlineStr">
        <is>
          <t>non</t>
        </is>
      </c>
      <c r="P10" s="5" t="inlineStr">
        <is>
          <t>non</t>
        </is>
      </c>
      <c r="Q10" s="5" t="inlineStr">
        <is>
          <t>retenir</t>
        </is>
      </c>
      <c r="R10" s="5" t="inlineStr">
        <is>
          <t>Deuxième grande cause de décès après les cancers en taux standardisé, série annuelle de 2011 à 2023 (224,76 pour 100 000 en 2011, 163,26 en 2023) sans drapeau.</t>
        </is>
      </c>
      <c r="S10" s="5" t="inlineStr">
        <is>
          <t>retenu</t>
        </is>
      </c>
      <c r="T10" s="7" t="inlineStr"/>
      <c r="U10" s="7" t="inlineStr"/>
    </row>
    <row r="11" ht="60" customHeight="1">
      <c r="A11" s="5" t="inlineStr">
        <is>
          <t>causes de décès</t>
        </is>
      </c>
      <c r="B11" s="5" t="inlineStr">
        <is>
          <t>mortalite_chutes</t>
        </is>
      </c>
      <c r="C11" s="6" t="inlineStr">
        <is>
          <t>mortalite_chutes</t>
        </is>
      </c>
      <c r="D11" s="5" t="inlineStr">
        <is>
          <t>Mortalité par chute accidentelle</t>
        </is>
      </c>
      <c r="E11" s="5" t="inlineStr">
        <is>
          <t>oui</t>
        </is>
      </c>
      <c r="F11" s="5" t="inlineStr">
        <is>
          <t>Taux standardisé de mortalité par chute accidentelle (CIM-10 W00-W19), tous âges, France (population standard européenne 2013).</t>
        </is>
      </c>
      <c r="G11" s="5" t="inlineStr">
        <is>
          <t>bas</t>
        </is>
      </c>
      <c r="H11" s="5" t="inlineStr">
        <is>
          <t>décès pour 100 000 habitants (taux standardisé)</t>
        </is>
      </c>
      <c r="I11" s="5" t="inlineStr">
        <is>
          <t>Eurostat (d'après l'INSEE-CépiDc) — hlth_cd_asdr2 (causes de décès, taux standardisés)</t>
        </is>
      </c>
      <c r="J11" s="5" t="inlineStr">
        <is>
          <t>hlth_cd_asdr2?freq=A&amp;unit=RT&amp;sex=T&amp;age=TOTAL&amp;icd10=W00-W19&amp;geo=FR</t>
        </is>
      </c>
      <c r="K11" s="5" t="inlineStr">
        <is>
          <t>2011-2023 (13 points, annuelle)</t>
        </is>
      </c>
      <c r="L11" s="5" t="inlineStr">
        <is>
          <t>resultat</t>
        </is>
      </c>
      <c r="M11" s="5" t="inlineStr">
        <is>
          <t>non</t>
        </is>
      </c>
      <c r="N11" s="5" t="inlineStr">
        <is>
          <t>non</t>
        </is>
      </c>
      <c r="O11" s="5" t="inlineStr">
        <is>
          <t>non</t>
        </is>
      </c>
      <c r="P11" s="5" t="inlineStr">
        <is>
          <t>non</t>
        </is>
      </c>
      <c r="Q11" s="5" t="inlineStr">
        <is>
          <t>retenir</t>
        </is>
      </c>
      <c r="R11" s="5" t="inlineStr">
        <is>
          <t>Mesure annuelle des décès par chute de 2011 à 2023, sans drapeau et en hausse de 9,86 à 13,47 pour 100 000, que complète la série de Santé publique France des 65 ans ou plus (2015-2024).</t>
        </is>
      </c>
      <c r="S11" s="5" t="inlineStr">
        <is>
          <t>retenu</t>
        </is>
      </c>
      <c r="T11" s="7" t="inlineStr"/>
      <c r="U11" s="7" t="inlineStr"/>
    </row>
    <row r="12" ht="60" customHeight="1">
      <c r="A12" s="5" t="inlineStr">
        <is>
          <t>causes de décès</t>
        </is>
      </c>
      <c r="B12" s="5" t="inlineStr">
        <is>
          <t>mortalite_diabete</t>
        </is>
      </c>
      <c r="C12" s="6" t="inlineStr">
        <is>
          <t>mortalite_diabete</t>
        </is>
      </c>
      <c r="D12" s="5" t="inlineStr">
        <is>
          <t>Mortalité par diabète</t>
        </is>
      </c>
      <c r="E12" s="5" t="inlineStr">
        <is>
          <t>oui</t>
        </is>
      </c>
      <c r="F12" s="5" t="inlineStr">
        <is>
          <t>Taux standardisé de mortalité par diabète sucré (CIM-10 E10-E14), tous âges, France (population standard européenne 2013).</t>
        </is>
      </c>
      <c r="G12" s="5" t="inlineStr">
        <is>
          <t>bas</t>
        </is>
      </c>
      <c r="H12" s="5" t="inlineStr">
        <is>
          <t>décès pour 100 000 habitants (taux standardisé)</t>
        </is>
      </c>
      <c r="I12" s="5" t="inlineStr">
        <is>
          <t>Eurostat (d'après l'INSEE-CépiDc) — hlth_cd_asdr2 (causes de décès, taux standardisés)</t>
        </is>
      </c>
      <c r="J12" s="5" t="inlineStr">
        <is>
          <t>hlth_cd_asdr2?freq=A&amp;unit=RT&amp;sex=T&amp;age=TOTAL&amp;icd10=E10-E14&amp;geo=FR</t>
        </is>
      </c>
      <c r="K12" s="5" t="inlineStr">
        <is>
          <t>2011-2023 (13 points, annuelle)</t>
        </is>
      </c>
      <c r="L12" s="5" t="inlineStr">
        <is>
          <t>resultat</t>
        </is>
      </c>
      <c r="M12" s="5" t="inlineStr">
        <is>
          <t>non</t>
        </is>
      </c>
      <c r="N12" s="5" t="inlineStr">
        <is>
          <t>non</t>
        </is>
      </c>
      <c r="O12" s="5" t="inlineStr">
        <is>
          <t>non</t>
        </is>
      </c>
      <c r="P12" s="5" t="inlineStr">
        <is>
          <t>non</t>
        </is>
      </c>
      <c r="Q12" s="5" t="inlineStr">
        <is>
          <t>retenir</t>
        </is>
      </c>
      <c r="R12" s="5" t="inlineStr">
        <is>
          <t>Maladie chronique liée à la nutrition et à la corpulence (A2), série annuelle de 2011 à 2023 sans drapeau (18,26 pour 100 000 en 2011, 15,18 en 2023).</t>
        </is>
      </c>
      <c r="S12" s="5" t="inlineStr">
        <is>
          <t>retenu</t>
        </is>
      </c>
      <c r="T12" s="7" t="inlineStr"/>
      <c r="U12" s="7" t="inlineStr"/>
    </row>
    <row r="13" ht="60" customHeight="1">
      <c r="A13" s="5" t="inlineStr">
        <is>
          <t>causes de décès</t>
        </is>
      </c>
      <c r="B13" s="5" t="inlineStr">
        <is>
          <t>mortalite_maladies_infectieuses</t>
        </is>
      </c>
      <c r="C13" s="6" t="inlineStr">
        <is>
          <t>mortalite_maladies_infectieuses</t>
        </is>
      </c>
      <c r="D13" s="5" t="inlineStr">
        <is>
          <t>Mortalité par tuberculose, VIH et hépatites</t>
        </is>
      </c>
      <c r="E13" s="5" t="inlineStr">
        <is>
          <t>oui</t>
        </is>
      </c>
      <c r="F13" s="5" t="inlineStr">
        <is>
          <t>Taux standardisé de mortalité dû à la tuberculose, au VIH et aux hépatites virales, France (indicateur ODD de l'UE 3.41).</t>
        </is>
      </c>
      <c r="G13" s="5" t="inlineStr">
        <is>
          <t>bas</t>
        </is>
      </c>
      <c r="H13" s="5" t="inlineStr">
        <is>
          <t>décès pour 100 000 habitants (taux standardisé)</t>
        </is>
      </c>
      <c r="I13" s="5" t="inlineStr">
        <is>
          <t>Eurostat (d'après l'INSEE-CépiDc) — sdg_03_41 (mortalité due à la tuberculose, au VIH et à l'hépatite)</t>
        </is>
      </c>
      <c r="J13" s="5" t="inlineStr">
        <is>
          <t>sdg_03_41?freq=A&amp;icd10=TOTAL&amp;geo=FR</t>
        </is>
      </c>
      <c r="K13" s="5" t="inlineStr">
        <is>
          <t>2001-2023 (23 points, annuelle)</t>
        </is>
      </c>
      <c r="L13" s="5" t="inlineStr">
        <is>
          <t>resultat</t>
        </is>
      </c>
      <c r="M13" s="5" t="inlineStr">
        <is>
          <t>non</t>
        </is>
      </c>
      <c r="N13" s="5" t="inlineStr">
        <is>
          <t>non</t>
        </is>
      </c>
      <c r="O13" s="5" t="inlineStr">
        <is>
          <t>non</t>
        </is>
      </c>
      <c r="P13" s="5" t="inlineStr">
        <is>
          <t>non</t>
        </is>
      </c>
      <c r="Q13" s="5" t="inlineStr">
        <is>
          <t>retenir</t>
        </is>
      </c>
      <c r="R13" s="5" t="inlineStr">
        <is>
          <t>Indicateur de la cible ODD 3.3 (mettre fin aux épidémies), annuel de 2001 à 2023 sans drapeau (5,80 pour 100 000 en 2001, 2,73 en 2011, 1,01 en 2023), seule mesure annuelle des maladies infectieuses au catalogue.</t>
        </is>
      </c>
      <c r="S13" s="5" t="inlineStr">
        <is>
          <t>retenu</t>
        </is>
      </c>
      <c r="T13" s="7" t="inlineStr"/>
      <c r="U13" s="7" t="inlineStr"/>
    </row>
    <row r="14" ht="60" customHeight="1">
      <c r="A14" s="5" t="inlineStr">
        <is>
          <t>causes de décès</t>
        </is>
      </c>
      <c r="B14" s="5" t="inlineStr">
        <is>
          <t>mortalite_maladies_respiratoires</t>
        </is>
      </c>
      <c r="C14" s="6" t="inlineStr">
        <is>
          <t>mortalite_maladies_respiratoires</t>
        </is>
      </c>
      <c r="D14" s="5" t="inlineStr">
        <is>
          <t>Mortalité par maladies respiratoires</t>
        </is>
      </c>
      <c r="E14" s="5" t="inlineStr">
        <is>
          <t>oui</t>
        </is>
      </c>
      <c r="F14" s="5" t="inlineStr">
        <is>
          <t>Taux standardisé de mortalité par maladies de l'appareil respiratoire (CIM-10 J00-J99 : grippe, pneumonies, maladies chroniques des voies respiratoires, asthme), tous âges, France (population standard européenne 2013).</t>
        </is>
      </c>
      <c r="G14" s="5" t="inlineStr">
        <is>
          <t>bas</t>
        </is>
      </c>
      <c r="H14" s="5" t="inlineStr">
        <is>
          <t>décès pour 100 000 habitants (taux standardisé)</t>
        </is>
      </c>
      <c r="I14" s="5" t="inlineStr">
        <is>
          <t>Eurostat (d'après l'INSEE-CépiDc) — hlth_cd_asdr2 (causes de décès, taux standardisés)</t>
        </is>
      </c>
      <c r="J14" s="5" t="inlineStr">
        <is>
          <t>hlth_cd_asdr2?freq=A&amp;unit=RT&amp;sex=T&amp;age=TOTAL&amp;icd10=J&amp;geo=FR</t>
        </is>
      </c>
      <c r="K14" s="5" t="inlineStr">
        <is>
          <t>2011-2023 (13 points, annuelle)</t>
        </is>
      </c>
      <c r="L14" s="5" t="inlineStr">
        <is>
          <t>resultat</t>
        </is>
      </c>
      <c r="M14" s="5" t="inlineStr">
        <is>
          <t>non</t>
        </is>
      </c>
      <c r="N14" s="5" t="inlineStr">
        <is>
          <t>non</t>
        </is>
      </c>
      <c r="O14" s="5" t="inlineStr">
        <is>
          <t>non</t>
        </is>
      </c>
      <c r="P14" s="5" t="inlineStr">
        <is>
          <t>non</t>
        </is>
      </c>
      <c r="Q14" s="5" t="inlineStr">
        <is>
          <t>retenir</t>
        </is>
      </c>
      <c r="R14" s="5" t="inlineStr">
        <is>
          <t>Grand chapitre de causes de décès lié au tabac, à la pollution de l'air et aux épidémies hivernales, série annuelle de 2011 à 2023 sans drapeau (55,28 pour 100 000 en 2011, 45,41 en 2021, 56,44 en 2023).</t>
        </is>
      </c>
      <c r="S14" s="5" t="inlineStr">
        <is>
          <t>retenu</t>
        </is>
      </c>
      <c r="T14" s="7" t="inlineStr"/>
      <c r="U14" s="7" t="inlineStr"/>
    </row>
    <row r="15" ht="60" customHeight="1">
      <c r="A15" s="5" t="inlineStr">
        <is>
          <t>comportements et prévention</t>
        </is>
      </c>
      <c r="B15" s="5" t="inlineStr">
        <is>
          <t>alcool</t>
        </is>
      </c>
      <c r="C15" s="6" t="inlineStr">
        <is>
          <t>consommation_alcool</t>
        </is>
      </c>
      <c r="D15" s="5" t="inlineStr">
        <is>
          <t>Consommation d'alcool par habitant</t>
        </is>
      </c>
      <c r="E15" s="5" t="inlineStr">
        <is>
          <t>oui</t>
        </is>
      </c>
      <c r="F15" s="5" t="inlineStr">
        <is>
          <t>Consommation annuelle d'alcool pur par habitant de 15 ans ou plus, estimée d'après les ventes (indicateur ODD 3.5.2, OCDE).</t>
        </is>
      </c>
      <c r="G15" s="5" t="inlineStr">
        <is>
          <t>bas</t>
        </is>
      </c>
      <c r="H15" s="5" t="inlineStr">
        <is>
          <t>litres d'alcool pur par habitant de 15 ans ou plus</t>
        </is>
      </c>
      <c r="I15" s="5" t="inlineStr">
        <is>
          <t>OCDE (d'après l'OMS et les données nationales de ventes) — Base ODD de l'OCDE, objectif 3 (indicateur 3.5.2)</t>
        </is>
      </c>
      <c r="J15" s="5" t="inlineStr">
        <is>
          <t>odd_3 : 3_5_2_OECD._T._T._T._T._T.L_PS</t>
        </is>
      </c>
      <c r="K15" s="5" t="inlineStr">
        <is>
          <t>2000-2023 (24 points, annuelle)</t>
        </is>
      </c>
      <c r="L15" s="5" t="inlineStr">
        <is>
          <t>pression</t>
        </is>
      </c>
      <c r="M15" s="5" t="inlineStr">
        <is>
          <t>non</t>
        </is>
      </c>
      <c r="N15" s="5" t="inlineStr">
        <is>
          <t>non</t>
        </is>
      </c>
      <c r="O15" s="5" t="inlineStr">
        <is>
          <t>non</t>
        </is>
      </c>
      <c r="P15" s="5" t="inlineStr">
        <is>
          <t>non</t>
        </is>
      </c>
      <c r="Q15" s="5" t="inlineStr">
        <is>
          <t>retenir</t>
        </is>
      </c>
      <c r="R15" s="5" t="inlineStr">
        <is>
          <t>Indicateur de la cible ODD 3.5, annuel de 2000 à 2023 (10,4 litres en 2023), seule mesure annuelle de la consommation d'alcool au catalogue.</t>
        </is>
      </c>
      <c r="S15" s="5" t="inlineStr">
        <is>
          <t>retenu</t>
        </is>
      </c>
      <c r="T15" s="7" t="inlineStr"/>
      <c r="U15" s="7" t="inlineStr"/>
    </row>
    <row r="16" ht="60" customHeight="1">
      <c r="A16" s="5" t="inlineStr">
        <is>
          <t>comportements et prévention</t>
        </is>
      </c>
      <c r="B16" s="5" t="inlineStr">
        <is>
          <t>antibiotiques</t>
        </is>
      </c>
      <c r="C16" s="6" t="inlineStr">
        <is>
          <t>consommation_antibiotiques</t>
        </is>
      </c>
      <c r="D16" s="5" t="inlineStr">
        <is>
          <t>Consommation d'antibiotiques</t>
        </is>
      </c>
      <c r="E16" s="5" t="inlineStr">
        <is>
          <t>oui</t>
        </is>
      </c>
      <c r="F16" s="5" t="inlineStr">
        <is>
          <t>Consommation d'antibiotiques à usage systémique en ville et à l'hôpital, en doses définies journalières pour 1 000 habitants et par jour (indicateur ODD de l'UE).</t>
        </is>
      </c>
      <c r="G16" s="5" t="inlineStr">
        <is>
          <t>bas</t>
        </is>
      </c>
      <c r="H16" s="5" t="inlineStr">
        <is>
          <t>doses définies journalières pour 1 000 habitants et par jour</t>
        </is>
      </c>
      <c r="I16" s="5" t="inlineStr">
        <is>
          <t>Eurostat (d'après l'ECDC) — sdg_03_70 (consommation d'antibiotiques)</t>
        </is>
      </c>
      <c r="J16" s="5" t="inlineStr">
        <is>
          <t>sdg_03_70?freq=A&amp;unit=P_THAB&amp;geo=FR</t>
        </is>
      </c>
      <c r="K16" s="5" t="inlineStr">
        <is>
          <t>2013-2024 (12 points, annuelle)</t>
        </is>
      </c>
      <c r="L16" s="5" t="inlineStr">
        <is>
          <t>pression</t>
        </is>
      </c>
      <c r="M16" s="5" t="inlineStr">
        <is>
          <t>non</t>
        </is>
      </c>
      <c r="N16" s="5" t="inlineStr">
        <is>
          <t>non</t>
        </is>
      </c>
      <c r="O16" s="5" t="inlineStr">
        <is>
          <t>non</t>
        </is>
      </c>
      <c r="P16" s="5" t="inlineStr">
        <is>
          <t>non</t>
        </is>
      </c>
      <c r="Q16" s="5" t="inlineStr">
        <is>
          <t>retenir</t>
        </is>
      </c>
      <c r="R16" s="5" t="inlineStr">
        <is>
          <t>Indicateur du tableau de bord ODD de l'UE, annuel de 2013 à 2024 sans drapeau (25,9 doses pour 1 000 habitants et par jour en 2013, 20,3 en 2020, 26,5 en 2024), seule mesure de l'usage des antibiotiques au catalogue.</t>
        </is>
      </c>
      <c r="S16" s="5" t="inlineStr">
        <is>
          <t>retenu</t>
        </is>
      </c>
      <c r="T16" s="7" t="inlineStr"/>
      <c r="U16" s="7" t="inlineStr"/>
    </row>
    <row r="17" ht="60" customHeight="1">
      <c r="A17" s="5" t="inlineStr">
        <is>
          <t>comportements et prévention</t>
        </is>
      </c>
      <c r="B17" s="5" t="inlineStr">
        <is>
          <t>depistage_cancer</t>
        </is>
      </c>
      <c r="C17" s="6" t="inlineStr">
        <is>
          <t>depistage_cancer_colorectal</t>
        </is>
      </c>
      <c r="D17" s="5" t="inlineStr">
        <is>
          <t>Participation au dépistage organisé du cancer colorectal</t>
        </is>
      </c>
      <c r="E17" s="5" t="inlineStr">
        <is>
          <t>oui</t>
        </is>
      </c>
      <c r="F17" s="5" t="inlineStr">
        <is>
          <t>Part de la population cible ayant participé au programme de dépistage organisé du cancer colorectal (données de programme).</t>
        </is>
      </c>
      <c r="G17" s="5" t="inlineStr">
        <is>
          <t>haut</t>
        </is>
      </c>
      <c r="H17" s="5" t="inlineStr">
        <is>
          <t>% de la population cible</t>
        </is>
      </c>
      <c r="I17" s="5" t="inlineStr">
        <is>
          <t>Eurostat (d'après Santé publique France) — hlth_ps_prev (dépistages du cancer, données de programme)</t>
        </is>
      </c>
      <c r="J17" s="5" t="inlineStr">
        <is>
          <t>hlth_ps_prev?freq=A&amp;unit=PC&amp;sex=T&amp;icd10=C18-C21&amp;geo=FR</t>
        </is>
      </c>
      <c r="K17" s="5" t="inlineStr">
        <is>
          <t>2011-2024 (12 points, annuelle)</t>
        </is>
      </c>
      <c r="L17" s="5" t="inlineStr">
        <is>
          <t>moyen</t>
        </is>
      </c>
      <c r="M17" s="5" t="inlineStr">
        <is>
          <t>non</t>
        </is>
      </c>
      <c r="N17" s="5" t="inlineStr">
        <is>
          <t>non</t>
        </is>
      </c>
      <c r="O17" s="5" t="inlineStr">
        <is>
          <t>non</t>
        </is>
      </c>
      <c r="P17" s="5" t="inlineStr">
        <is>
          <t>non</t>
        </is>
      </c>
      <c r="Q17" s="5" t="inlineStr">
        <is>
          <t>retenir</t>
        </is>
      </c>
      <c r="R17" s="5" t="inlineStr">
        <is>
          <t>Seule série annuelle de dépistage en cours au catalogue, 12 valeurs de 2011 à 2024 (28,2 % en 2011, 29,6 % en 2024 ; rien en 2015-2016, rupture « b » en 2017), admise comme moyen (D19).</t>
        </is>
      </c>
      <c r="S17" s="5" t="inlineStr">
        <is>
          <t>retenu</t>
        </is>
      </c>
      <c r="T17" s="7" t="inlineStr"/>
      <c r="U17" s="7" t="inlineStr"/>
    </row>
    <row r="18" ht="60" customHeight="1">
      <c r="A18" s="5" t="inlineStr">
        <is>
          <t>comportements et prévention</t>
        </is>
      </c>
      <c r="B18" s="5" t="inlineStr">
        <is>
          <t>obesite</t>
        </is>
      </c>
      <c r="C18" s="6" t="inlineStr">
        <is>
          <t>obesite</t>
        </is>
      </c>
      <c r="D18" s="5" t="inlineStr">
        <is>
          <t>Obésité des adultes</t>
        </is>
      </c>
      <c r="E18" s="5" t="inlineStr">
        <is>
          <t>oui</t>
        </is>
      </c>
      <c r="F18" s="5" t="inlineStr">
        <is>
          <t>Part des adultes dont l'indice de masse corporelle (poids sur taille au carré) est au moins égal à 30, d'après le poids et la taille déclarés (enquêtes EHIS et modules santé d'EU-SILC).</t>
        </is>
      </c>
      <c r="G18" s="5" t="inlineStr">
        <is>
          <t>bas</t>
        </is>
      </c>
      <c r="H18" s="5" t="inlineStr">
        <is>
          <t>% des adultes</t>
        </is>
      </c>
      <c r="I18" s="5" t="inlineStr">
        <is>
          <t>Eurostat — sdg_02_10 (taux d'obésité selon l'IMC), modalité BMI_GE30</t>
        </is>
      </c>
      <c r="J18" s="5" t="inlineStr">
        <is>
          <t>sdg_02_10?freq=A&amp;unit=PC&amp;bmi=BMI_GE30&amp;geo=FR</t>
        </is>
      </c>
      <c r="K18" s="5" t="inlineStr">
        <is>
          <t>2008-2025 (6 points, irreguliere)</t>
        </is>
      </c>
      <c r="L18" s="5" t="inlineStr">
        <is>
          <t>resultat</t>
        </is>
      </c>
      <c r="M18" s="5" t="inlineStr">
        <is>
          <t>non</t>
        </is>
      </c>
      <c r="N18" s="5" t="inlineStr">
        <is>
          <t>non</t>
        </is>
      </c>
      <c r="O18" s="5" t="inlineStr">
        <is>
          <t>non</t>
        </is>
      </c>
      <c r="P18" s="5" t="inlineStr">
        <is>
          <t>non</t>
        </is>
      </c>
      <c r="Q18" s="5" t="inlineStr">
        <is>
          <t>retenir</t>
        </is>
      </c>
      <c r="R18" s="5" t="inlineStr">
        <is>
          <t>Seule série nationale récente de l'obésité des adultes, 6 vagues de 2008 à 2025 (12,2 % en 2008, 16,3 % en 2025) admises comme série irrégulière (D17).</t>
        </is>
      </c>
      <c r="S18" s="5" t="inlineStr">
        <is>
          <t>retenu</t>
        </is>
      </c>
      <c r="T18" s="7" t="inlineStr"/>
      <c r="U18" s="7" t="inlineStr"/>
    </row>
    <row r="19" ht="60" customHeight="1">
      <c r="A19" s="5" t="inlineStr">
        <is>
          <t>comportements et prévention</t>
        </is>
      </c>
      <c r="B19" s="5" t="inlineStr">
        <is>
          <t>tabagisme</t>
        </is>
      </c>
      <c r="C19" s="6" t="inlineStr">
        <is>
          <t>tabagisme_quotidien</t>
        </is>
      </c>
      <c r="D19" s="5" t="inlineStr">
        <is>
          <t>Prévalence du tabagisme quotidien</t>
        </is>
      </c>
      <c r="E19" s="5" t="inlineStr">
        <is>
          <t>oui</t>
        </is>
      </c>
      <c r="F19" s="5" t="inlineStr">
        <is>
          <t>Part des 18-75 ans déclarant fumer du tabac tous les jours (Baromètre de Santé publique France).</t>
        </is>
      </c>
      <c r="G19" s="5" t="inlineStr">
        <is>
          <t>bas</t>
        </is>
      </c>
      <c r="H19" s="5" t="inlineStr">
        <is>
          <t>% des 18-75 ans</t>
        </is>
      </c>
      <c r="I19" s="5" t="inlineStr">
        <is>
          <t>Santé publique France — Odissé, jeu tabagisme-prevalence-selon-le-sexe (taux)</t>
        </is>
      </c>
      <c r="J19" s="5" t="inlineStr">
        <is>
          <t>https://odisse.santepubliquefrance.fr/api/explore/v2.1/catalog/datasets/tabagisme-prevalence-selon-le-sexe (taux)</t>
        </is>
      </c>
      <c r="K19" s="5" t="inlineStr">
        <is>
          <t>2000-2023 (13 points, irreguliere)</t>
        </is>
      </c>
      <c r="L19" s="5" t="inlineStr">
        <is>
          <t>pression</t>
        </is>
      </c>
      <c r="M19" s="5" t="inlineStr">
        <is>
          <t>non</t>
        </is>
      </c>
      <c r="N19" s="5" t="inlineStr">
        <is>
          <t>non</t>
        </is>
      </c>
      <c r="O19" s="5" t="inlineStr">
        <is>
          <t>non</t>
        </is>
      </c>
      <c r="P19" s="5" t="inlineStr">
        <is>
          <t>oui</t>
        </is>
      </c>
      <c r="Q19" s="5" t="inlineStr">
        <is>
          <t>retenir</t>
        </is>
      </c>
      <c r="R19" s="5" t="inlineStr">
        <is>
          <t>Comportement à risque suivi par les cadres OCDE et Eurostat, 13 vagues de 2000 à 2023 (annuelles depuis 2014 ; 23,1 % en 2023), plus que l'indicateur national ODD 3.i8 de l'INSEE (9 vagues 2010-2024).</t>
        </is>
      </c>
      <c r="S19" s="5" t="inlineStr">
        <is>
          <t>retenu_socle</t>
        </is>
      </c>
      <c r="T19" s="7" t="inlineStr"/>
      <c r="U19" s="7" t="inlineStr"/>
    </row>
    <row r="20" ht="60" customHeight="1">
      <c r="A20" s="5" t="inlineStr">
        <is>
          <t>comportements et prévention</t>
        </is>
      </c>
      <c r="B20" s="5" t="inlineStr">
        <is>
          <t>vaccination_enfants</t>
        </is>
      </c>
      <c r="C20" s="6" t="inlineStr">
        <is>
          <t>vaccination_ror</t>
        </is>
      </c>
      <c r="D20" s="5" t="inlineStr">
        <is>
          <t>Couverture vaccinale rougeole-oreillons-rubéole (deux doses) à 24 mois</t>
        </is>
      </c>
      <c r="E20" s="5" t="inlineStr">
        <is>
          <t>oui</t>
        </is>
      </c>
      <c r="F20" s="5" t="inlineStr">
        <is>
          <t>Part des enfants de 24 mois ayant reçu deux doses de vaccin contre la rougeole, les oreillons et la rubéole (certificats de santé du 24e mois, Santé publique France).</t>
        </is>
      </c>
      <c r="G20" s="5" t="inlineStr">
        <is>
          <t>haut</t>
        </is>
      </c>
      <c r="H20" s="5" t="inlineStr">
        <is>
          <t>% des enfants de 24 mois</t>
        </is>
      </c>
      <c r="I20" s="5" t="inlineStr">
        <is>
          <t>Santé publique France — Odissé, jeu couvertures-vaccinales-issues-des-certificats-de-sante-du-24eme-mois-depuis-2004-france (cs24_ror2)</t>
        </is>
      </c>
      <c r="J20" s="5" t="inlineStr">
        <is>
          <t>https://odisse.santepubliquefrance.fr/api/explore/v2.1/catalog/datasets/couvertures-vaccinales-…-24eme-mois (cs24_ror2)</t>
        </is>
      </c>
      <c r="K20" s="5" t="inlineStr">
        <is>
          <t>2010-2024 (15 points, annuelle)</t>
        </is>
      </c>
      <c r="L20" s="5" t="inlineStr">
        <is>
          <t>moyen</t>
        </is>
      </c>
      <c r="M20" s="5" t="inlineStr">
        <is>
          <t>non</t>
        </is>
      </c>
      <c r="N20" s="5" t="inlineStr">
        <is>
          <t>non</t>
        </is>
      </c>
      <c r="O20" s="5" t="inlineStr">
        <is>
          <t>non</t>
        </is>
      </c>
      <c r="P20" s="5" t="inlineStr">
        <is>
          <t>non</t>
        </is>
      </c>
      <c r="Q20" s="5" t="inlineStr">
        <is>
          <t>retenir</t>
        </is>
      </c>
      <c r="R20" s="5" t="inlineStr">
        <is>
          <t>Indicateur de prévention annuel de 2010 à 2024 (92,7 % en 2024), la couverture la plus basse des vaccins du nourrisson au catalogue, admis comme moyen (D19).</t>
        </is>
      </c>
      <c r="S20" s="5" t="inlineStr">
        <is>
          <t>retenu</t>
        </is>
      </c>
      <c r="T20" s="7" t="inlineStr"/>
      <c r="U20" s="7" t="inlineStr"/>
    </row>
    <row r="21" ht="60" customHeight="1">
      <c r="A21" s="5" t="inlineStr">
        <is>
          <t>comportements et prévention</t>
        </is>
      </c>
      <c r="B21" s="5" t="inlineStr">
        <is>
          <t>vaccination_grippe</t>
        </is>
      </c>
      <c r="C21" s="6" t="inlineStr">
        <is>
          <t>vaccination_grippe_seniors</t>
        </is>
      </c>
      <c r="D21" s="5" t="inlineStr">
        <is>
          <t>Vaccination contre la grippe des 65 ans ou plus</t>
        </is>
      </c>
      <c r="E21" s="5" t="inlineStr">
        <is>
          <t>oui</t>
        </is>
      </c>
      <c r="F21" s="5" t="inlineStr">
        <is>
          <t>Part des personnes de 65 ans ou plus vaccinées contre la grippe saisonnière (Eurostat, d'après l'Assurance maladie).</t>
        </is>
      </c>
      <c r="G21" s="5" t="inlineStr">
        <is>
          <t>haut</t>
        </is>
      </c>
      <c r="H21" s="5" t="inlineStr">
        <is>
          <t>% des 65 ans ou plus</t>
        </is>
      </c>
      <c r="I21" s="5" t="inlineStr">
        <is>
          <t>Eurostat — hlth_ps_immu (vaccination contre la grippe des 65 ans ou plus)</t>
        </is>
      </c>
      <c r="J21" s="5" t="inlineStr">
        <is>
          <t>hlth_ps_immu?freq=A&amp;unit=PC&amp;geo=FR</t>
        </is>
      </c>
      <c r="K21" s="5" t="inlineStr">
        <is>
          <t>2000-2025 (26 points, annuelle)</t>
        </is>
      </c>
      <c r="L21" s="5" t="inlineStr">
        <is>
          <t>moyen</t>
        </is>
      </c>
      <c r="M21" s="5" t="inlineStr">
        <is>
          <t>non</t>
        </is>
      </c>
      <c r="N21" s="5" t="inlineStr">
        <is>
          <t>non</t>
        </is>
      </c>
      <c r="O21" s="5" t="inlineStr">
        <is>
          <t>non</t>
        </is>
      </c>
      <c r="P21" s="5" t="inlineStr">
        <is>
          <t>non</t>
        </is>
      </c>
      <c r="Q21" s="5" t="inlineStr">
        <is>
          <t>retenir</t>
        </is>
      </c>
      <c r="R21" s="5" t="inlineStr">
        <is>
          <t>Plus longue série de prévention au catalogue, annuelle de 2000 à 2025 (53,0 % en 2000, 64,8 % en 2009, 48,5 % en 2015, 59,9 % en 2021, 53,7 % en 2025), admise comme moyen (D19).</t>
        </is>
      </c>
      <c r="S21" s="5" t="inlineStr">
        <is>
          <t>retenu</t>
        </is>
      </c>
      <c r="T21" s="7" t="inlineStr"/>
      <c r="U21" s="7" t="inlineStr"/>
    </row>
    <row r="22" ht="60" customHeight="1">
      <c r="A22" s="5" t="inlineStr">
        <is>
          <t>comportements et prévention</t>
        </is>
      </c>
      <c r="B22" s="5" t="inlineStr">
        <is>
          <t>vaccination_hpv</t>
        </is>
      </c>
      <c r="C22" s="6" t="inlineStr">
        <is>
          <t>vaccination_hpv</t>
        </is>
      </c>
      <c r="D22" s="5" t="inlineStr">
        <is>
          <t>Couverture vaccinale contre les papillomavirus humains (HPV) des jeunes filles</t>
        </is>
      </c>
      <c r="E22" s="5" t="inlineStr">
        <is>
          <t>oui</t>
        </is>
      </c>
      <c r="F22" s="5" t="inlineStr">
        <is>
          <t>Part des jeunes filles de 16 ans ayant reçu un schéma vaccinal complet contre les papillomavirus humains, responsables des cancers du col de l'utérus (couverture estimée par Santé publique France à partir des …</t>
        </is>
      </c>
      <c r="G22" s="5" t="inlineStr">
        <is>
          <t>haut</t>
        </is>
      </c>
      <c r="H22" s="5" t="inlineStr">
        <is>
          <t>% des filles de 16 ans</t>
        </is>
      </c>
      <c r="I22" s="5" t="inlineStr">
        <is>
          <t>Santé publique France — Odissé, jeu couvertures-vaccinales-des-adolescents-et-adultes-depuis-2011-france (hpv2_f)</t>
        </is>
      </c>
      <c r="J22" s="5" t="inlineStr">
        <is>
          <t>https://odisse.santepubliquefrance.fr/api/explore/v2.1/catalog/datasets/couvertures-vaccinales-des-adolescents-et-adultes-depuis-2011-france (hpv2_f)</t>
        </is>
      </c>
      <c r="K22" s="5" t="inlineStr">
        <is>
          <t>2011-2025 (15 points, annuelle)</t>
        </is>
      </c>
      <c r="L22" s="5" t="inlineStr">
        <is>
          <t>moyen</t>
        </is>
      </c>
      <c r="M22" s="5" t="inlineStr">
        <is>
          <t>non</t>
        </is>
      </c>
      <c r="N22" s="5" t="inlineStr">
        <is>
          <t>non</t>
        </is>
      </c>
      <c r="O22" s="5" t="inlineStr">
        <is>
          <t>non</t>
        </is>
      </c>
      <c r="P22" s="5" t="inlineStr">
        <is>
          <t>non</t>
        </is>
      </c>
      <c r="Q22" s="5" t="inlineStr">
        <is>
          <t>retenir</t>
        </is>
      </c>
      <c r="R22" s="5" t="inlineStr">
        <is>
          <t>Série nationale du producteur, annuelle de 2011 à 2025 (25,3 % en 2011, 13,2 % en 2015, 44,7 % en 2023, 50,7 % en 2025), plus fraîche que la série OCDE qui la reprend jusqu'en 2023 (méthode §4), admise comme moyen (D19).</t>
        </is>
      </c>
      <c r="S22" s="5" t="inlineStr">
        <is>
          <t>retenu</t>
        </is>
      </c>
      <c r="T22" s="7" t="inlineStr"/>
      <c r="U22" s="7" t="inlineStr"/>
    </row>
    <row r="23" ht="60" customHeight="1">
      <c r="A23" s="5" t="inlineStr">
        <is>
          <t>espérance de vie</t>
        </is>
      </c>
      <c r="B23" s="5" t="inlineStr">
        <is>
          <t>esperance_vie</t>
        </is>
      </c>
      <c r="C23" s="6" t="inlineStr">
        <is>
          <t>esperance_vie_naissance</t>
        </is>
      </c>
      <c r="D23" s="5" t="inlineStr">
        <is>
          <t>Espérance de vie à la naissance</t>
        </is>
      </c>
      <c r="E23" s="5" t="inlineStr">
        <is>
          <t>oui</t>
        </is>
      </c>
      <c r="F23" s="5" t="inlineStr">
        <is>
          <t>Nombre moyen d'années que vivrait un nouveau-né soumis toute sa vie aux conditions de mortalité par âge de l'année considérée, ensemble des sexes, France (Eurostat, d'après l'état civil de l'INSEE).</t>
        </is>
      </c>
      <c r="G23" s="5" t="inlineStr">
        <is>
          <t>haut</t>
        </is>
      </c>
      <c r="H23" s="5" t="inlineStr">
        <is>
          <t>années</t>
        </is>
      </c>
      <c r="I23" s="5" t="inlineStr">
        <is>
          <t>Eurostat (d'après l'INSEE) — demo_mlexpec (espérance de vie par âge et sexe)</t>
        </is>
      </c>
      <c r="J23" s="5" t="inlineStr">
        <is>
          <t>demo_mlexpec?freq=A&amp;unit=YR&amp;sex=T&amp;age=Y_LT1&amp;geo=FR</t>
        </is>
      </c>
      <c r="K23" s="5" t="inlineStr">
        <is>
          <t>2000-2024 (25 points, annuelle)</t>
        </is>
      </c>
      <c r="L23" s="5" t="inlineStr">
        <is>
          <t>resultat</t>
        </is>
      </c>
      <c r="M23" s="5" t="inlineStr">
        <is>
          <t>non</t>
        </is>
      </c>
      <c r="N23" s="5" t="inlineStr">
        <is>
          <t>non</t>
        </is>
      </c>
      <c r="O23" s="5" t="inlineStr">
        <is>
          <t>oui</t>
        </is>
      </c>
      <c r="P23" s="5" t="inlineStr">
        <is>
          <t>oui</t>
        </is>
      </c>
      <c r="Q23" s="5" t="inlineStr">
        <is>
          <t>retenir</t>
        </is>
      </c>
      <c r="R23" s="5" t="inlineStr">
        <is>
          <t>Indicateur retenu par quatre cadres de bien-être (§5 du crosswalk), annuel de 2000 à 2024 (79,2 ans en 2000, 83,0 ans en 2024, provisoire) et publié par Eurostat pour l'ensemble des sexes, alors que l'INSEE ne publie ce niveau que par sexe (D35).</t>
        </is>
      </c>
      <c r="S23" s="5" t="inlineStr">
        <is>
          <t>retenu_socle</t>
        </is>
      </c>
      <c r="T23" s="7" t="inlineStr"/>
      <c r="U23" s="7" t="inlineStr"/>
    </row>
    <row r="24" ht="60" customHeight="1">
      <c r="A24" s="5" t="inlineStr">
        <is>
          <t>espérance de vie</t>
        </is>
      </c>
      <c r="B24" s="5" t="inlineStr">
        <is>
          <t>esperance_vie</t>
        </is>
      </c>
      <c r="C24" s="5" t="inlineStr">
        <is>
          <t>esperance_vie_65</t>
        </is>
      </c>
      <c r="D24" s="5" t="inlineStr">
        <is>
          <t>Espérance de vie à 65 ans</t>
        </is>
      </c>
      <c r="E24" s="5" t="inlineStr">
        <is>
          <t>non</t>
        </is>
      </c>
      <c r="F24" s="5" t="inlineStr">
        <is>
          <t>Nombre moyen d'années restant à vivre à 65 ans dans les conditions de mortalité de l'année, ensemble des sexes, France (Eurostat, jeu démographique de l'espérance de vie, comme la fiche principale de la famille).</t>
        </is>
      </c>
      <c r="G24" s="5" t="inlineStr">
        <is>
          <t>haut</t>
        </is>
      </c>
      <c r="H24" s="5" t="inlineStr">
        <is>
          <t>années</t>
        </is>
      </c>
      <c r="I24" s="5" t="inlineStr">
        <is>
          <t>Eurostat (d'après l'INSEE) — demo_mlexpec (espérance de vie par âge et sexe), âge 65 ans</t>
        </is>
      </c>
      <c r="J24" s="5" t="inlineStr">
        <is>
          <t>demo_mlexpec?freq=A&amp;unit=YR&amp;sex=T&amp;age=Y65&amp;geo=FR</t>
        </is>
      </c>
      <c r="K24" s="5" t="inlineStr">
        <is>
          <t>1998-2024 (25 points, annuelle)</t>
        </is>
      </c>
      <c r="L24" s="5" t="inlineStr">
        <is>
          <t>resultat</t>
        </is>
      </c>
      <c r="M24" s="5" t="inlineStr">
        <is>
          <t>non</t>
        </is>
      </c>
      <c r="N24" s="5" t="inlineStr">
        <is>
          <t>non</t>
        </is>
      </c>
      <c r="O24" s="5" t="inlineStr">
        <is>
          <t>non</t>
        </is>
      </c>
      <c r="P24" s="5" t="inlineStr">
        <is>
          <t>non</t>
        </is>
      </c>
      <c r="Q24" s="5" t="inlineStr">
        <is>
          <t>retenir_variante</t>
        </is>
      </c>
      <c r="R24" s="5" t="inlineStr">
        <is>
          <t>Lecture de la longévité aux âges élevés, annuelle de 1998 à 2024 dans le même jeu que la fiche principale (19,3 ans en 2000, 21,0 ans en 2020, 21,9 ans en 2024), choisie par D43 devant la série du jeu des années de vie en bonne santé.</t>
        </is>
      </c>
      <c r="S24" s="5" t="inlineStr">
        <is>
          <t>retenu</t>
        </is>
      </c>
      <c r="T24" s="7" t="inlineStr"/>
      <c r="U24" s="7" t="inlineStr"/>
    </row>
    <row r="25" ht="60" customHeight="1">
      <c r="A25" s="5" t="inlineStr">
        <is>
          <t>espérance de vie</t>
        </is>
      </c>
      <c r="B25" s="5" t="inlineStr">
        <is>
          <t>esperance_vie_sans_incapacite</t>
        </is>
      </c>
      <c r="C25" s="6" t="inlineStr">
        <is>
          <t>esperance_vie_sans_incapacite</t>
        </is>
      </c>
      <c r="D25" s="5" t="inlineStr">
        <is>
          <t>Années de vie en bonne santé (espérance de vie sans incapacité) à la naissance</t>
        </is>
      </c>
      <c r="E25" s="5" t="inlineStr">
        <is>
          <t>oui</t>
        </is>
      </c>
      <c r="F25" s="5" t="inlineStr">
        <is>
          <t>Nombre d'années qu'une personne peut espérer vivre sans limitation d'activité durable due à un problème de santé (indicateur GALI de l'enquête SRCV combiné aux tables de mortalité), ensemble des sexes, France.</t>
        </is>
      </c>
      <c r="G25" s="5" t="inlineStr">
        <is>
          <t>haut</t>
        </is>
      </c>
      <c r="H25" s="5" t="inlineStr">
        <is>
          <t>années</t>
        </is>
      </c>
      <c r="I25" s="5" t="inlineStr">
        <is>
          <t>Eurostat (d'après l'INSEE, SRCV et état civil) — hlth_hlye (années de vie en bonne santé par sexe), modalité HLY_Y0</t>
        </is>
      </c>
      <c r="J25" s="5" t="inlineStr">
        <is>
          <t>hlth_hlye?freq=A&amp;unit=YR&amp;sex=T&amp;hlth_hle=HLY_Y0&amp;geo=FR</t>
        </is>
      </c>
      <c r="K25" s="5" t="inlineStr">
        <is>
          <t>2004-2024 (21 points, annuelle)</t>
        </is>
      </c>
      <c r="L25" s="5" t="inlineStr">
        <is>
          <t>resultat</t>
        </is>
      </c>
      <c r="M25" s="5" t="inlineStr">
        <is>
          <t>oui</t>
        </is>
      </c>
      <c r="N25" s="5" t="inlineStr">
        <is>
          <t>non</t>
        </is>
      </c>
      <c r="O25" s="5" t="inlineStr">
        <is>
          <t>oui</t>
        </is>
      </c>
      <c r="P25" s="5" t="inlineStr">
        <is>
          <t>oui</t>
        </is>
      </c>
      <c r="Q25" s="5" t="inlineStr">
        <is>
          <t>retenir</t>
        </is>
      </c>
      <c r="R25" s="5" t="inlineStr">
        <is>
          <t>Indicateur de richesse nationale de l'INSEE et du cadre Qualité de vie d'Eurostat (§5 du crosswalk), annuel de 2004 à 2024, publié pour l'ensemble des sexes par Eurostat seulement.</t>
        </is>
      </c>
      <c r="S25" s="5" t="inlineStr">
        <is>
          <t>retenu_socle</t>
        </is>
      </c>
      <c r="T25" s="7" t="inlineStr"/>
      <c r="U25" s="7" t="inlineStr"/>
    </row>
    <row r="26" ht="60" customHeight="1">
      <c r="A26" s="5" t="inlineStr">
        <is>
          <t>espérance de vie</t>
        </is>
      </c>
      <c r="B26" s="5" t="inlineStr">
        <is>
          <t>esperance_vie_sans_incapacite</t>
        </is>
      </c>
      <c r="C26" s="5" t="inlineStr">
        <is>
          <t>esperance_vie_sans_incapacite_65</t>
        </is>
      </c>
      <c r="D26" s="5" t="inlineStr">
        <is>
          <t>Années de vie en bonne santé à 65 ans</t>
        </is>
      </c>
      <c r="E26" s="5" t="inlineStr">
        <is>
          <t>non</t>
        </is>
      </c>
      <c r="F26" s="5" t="inlineStr">
        <is>
          <t>Nombre d'années qu'une personne de 65 ans peut espérer vivre sans limitation d'activité durable due à un problème de santé (indicateur GALI), ensemble des sexes, France.</t>
        </is>
      </c>
      <c r="G26" s="5" t="inlineStr">
        <is>
          <t>haut</t>
        </is>
      </c>
      <c r="H26" s="5" t="inlineStr">
        <is>
          <t>années</t>
        </is>
      </c>
      <c r="I26" s="5" t="inlineStr">
        <is>
          <t>Eurostat (d'après l'INSEE, SRCV et état civil) — hlth_hlye (années de vie en bonne santé par sexe), modalité HLY_Y65</t>
        </is>
      </c>
      <c r="J26" s="5" t="inlineStr">
        <is>
          <t>hlth_hlye?freq=A&amp;unit=YR&amp;sex=T&amp;hlth_hle=HLY_Y65&amp;geo=FR</t>
        </is>
      </c>
      <c r="K26" s="5" t="inlineStr">
        <is>
          <t>2004-2024 (21 points, annuelle)</t>
        </is>
      </c>
      <c r="L26" s="5" t="inlineStr">
        <is>
          <t>resultat</t>
        </is>
      </c>
      <c r="M26" s="5" t="inlineStr">
        <is>
          <t>oui</t>
        </is>
      </c>
      <c r="N26" s="5" t="inlineStr">
        <is>
          <t>non</t>
        </is>
      </c>
      <c r="O26" s="5" t="inlineStr">
        <is>
          <t>non</t>
        </is>
      </c>
      <c r="P26" s="5" t="inlineStr">
        <is>
          <t>non</t>
        </is>
      </c>
      <c r="Q26" s="5" t="inlineStr">
        <is>
          <t>retenir_variante</t>
        </is>
      </c>
      <c r="R26" s="5" t="inlineStr">
        <is>
          <t>Lecture aux âges de la retraite, annuelle de 2004 à 2024 (9,3 ans en 2004, 11,0 ans en 2019, 10,9 ans en 2024, provisoire), complément de l'espérance de vie à 65 ans.</t>
        </is>
      </c>
      <c r="S26" s="5" t="inlineStr">
        <is>
          <t>retenu</t>
        </is>
      </c>
      <c r="T26" s="7" t="inlineStr"/>
      <c r="U26" s="7" t="inlineStr"/>
    </row>
    <row r="27" ht="60" customHeight="1">
      <c r="A27" s="5" t="inlineStr">
        <is>
          <t>maladies infectieuses</t>
        </is>
      </c>
      <c r="B27" s="5" t="inlineStr">
        <is>
          <t>decouvertes_vih</t>
        </is>
      </c>
      <c r="C27" s="6" t="inlineStr">
        <is>
          <t>decouvertes_vih</t>
        </is>
      </c>
      <c r="D27" s="5" t="inlineStr">
        <is>
          <t>Découvertes de séropositivité VIH</t>
        </is>
      </c>
      <c r="E27" s="5" t="inlineStr">
        <is>
          <t>oui</t>
        </is>
      </c>
      <c r="F27" s="5" t="inlineStr">
        <is>
          <t>Nombre de personnes ayant découvert leur séropositivité au VIH dans l'année, France (indicateur national ODD 3.i2, Santé publique France).</t>
        </is>
      </c>
      <c r="G27" s="5" t="inlineStr">
        <is>
          <t>ambigu</t>
        </is>
      </c>
      <c r="H27" s="5" t="inlineStr">
        <is>
          <t>personnes</t>
        </is>
      </c>
      <c r="I27" s="5" t="inlineStr">
        <is>
          <t>INSEE (d'après Santé publique France) — Indicateurs ODD nationaux (BDM)</t>
        </is>
      </c>
      <c r="J27" s="5" t="inlineStr">
        <is>
          <t>010593272</t>
        </is>
      </c>
      <c r="K27" s="5" t="inlineStr">
        <is>
          <t>2010-2024 (15 points, annuelle)</t>
        </is>
      </c>
      <c r="L27" s="5" t="inlineStr">
        <is>
          <t>resultat</t>
        </is>
      </c>
      <c r="M27" s="5" t="inlineStr">
        <is>
          <t>non</t>
        </is>
      </c>
      <c r="N27" s="5" t="inlineStr">
        <is>
          <t>non</t>
        </is>
      </c>
      <c r="O27" s="5" t="inlineStr">
        <is>
          <t>non</t>
        </is>
      </c>
      <c r="P27" s="5" t="inlineStr">
        <is>
          <t>non</t>
        </is>
      </c>
      <c r="Q27" s="5" t="inlineStr">
        <is>
          <t>ecarter</t>
        </is>
      </c>
      <c r="R27" s="5" t="inlineStr">
        <is>
          <t>Sens ambigu : le nombre de découvertes de séropositivité (2010-2024) augmente avec l'effort de dépistage autant qu'avec les nouvelles contaminations, et il est exprimé en nombre.</t>
        </is>
      </c>
      <c r="S27" s="5" t="inlineStr">
        <is>
          <t>ecarte</t>
        </is>
      </c>
      <c r="T27" s="7" t="inlineStr"/>
      <c r="U27" s="7" t="inlineStr"/>
    </row>
    <row r="28" ht="60" customHeight="1">
      <c r="A28" s="5" t="inlineStr">
        <is>
          <t>mortalité</t>
        </is>
      </c>
      <c r="B28" s="5" t="inlineStr">
        <is>
          <t>deces_pollution_air</t>
        </is>
      </c>
      <c r="C28" s="6" t="inlineStr">
        <is>
          <t>deces_pollution_air</t>
        </is>
      </c>
      <c r="D28" s="5" t="inlineStr">
        <is>
          <t>Décès prématurés attribuables aux particules fines (PM2,5)</t>
        </is>
      </c>
      <c r="E28" s="5" t="inlineStr">
        <is>
          <t>oui</t>
        </is>
      </c>
      <c r="F28" s="5" t="inlineStr">
        <is>
          <t>Décès prématurés attribuables à l'exposition de longue durée aux particules fines PM2,5, pour 100 000 habitants : seul l'excès de concentration au-delà de 5 µg/m³ en moyenne annuelle (ligne directrice de l'OMS de 2021) …</t>
        </is>
      </c>
      <c r="G28" s="5" t="inlineStr">
        <is>
          <t>bas</t>
        </is>
      </c>
      <c r="H28" s="5" t="inlineStr">
        <is>
          <t>décès prématurés pour 100 000 habitants</t>
        </is>
      </c>
      <c r="I28" s="5" t="inlineStr">
        <is>
          <t>Eurostat (d'après l'Agence européenne de l'environnement) — sdg_11_52 (décès prématurés dus aux PM2,5)</t>
        </is>
      </c>
      <c r="J28" s="5" t="inlineStr">
        <is>
          <t>sdg_11_52?freq=A&amp;airpol=PM2_5&amp;effect=PMD&amp;unit=RT&amp;geo=FR</t>
        </is>
      </c>
      <c r="K28" s="5" t="inlineStr">
        <is>
          <t>2005-2023 (18 points, annuelle)</t>
        </is>
      </c>
      <c r="L28" s="5" t="inlineStr">
        <is>
          <t>resultat</t>
        </is>
      </c>
      <c r="M28" s="5" t="inlineStr">
        <is>
          <t>non</t>
        </is>
      </c>
      <c r="N28" s="5" t="inlineStr">
        <is>
          <t>non</t>
        </is>
      </c>
      <c r="O28" s="5" t="inlineStr">
        <is>
          <t>non</t>
        </is>
      </c>
      <c r="P28" s="5" t="inlineStr">
        <is>
          <t>non</t>
        </is>
      </c>
      <c r="Q28" s="5" t="inlineStr">
        <is>
          <t>retenir</t>
        </is>
      </c>
      <c r="R28" s="5" t="inlineStr">
        <is>
          <t>Indicateur du tableau de bord ODD de l'UE, 18 années de 2005 à 2023 (61 décès prématurés pour 100 000 habitants en 2005, 22 en 2023, 2006 absent), seule mesure annuelle de la mortalité attribuable à l'environnement au catalogue.</t>
        </is>
      </c>
      <c r="S28" s="5" t="inlineStr">
        <is>
          <t>retenu</t>
        </is>
      </c>
      <c r="T28" s="7" t="inlineStr"/>
      <c r="U28" s="7" t="inlineStr"/>
    </row>
    <row r="29" ht="60" customHeight="1">
      <c r="A29" s="5" t="inlineStr">
        <is>
          <t>mortalité</t>
        </is>
      </c>
      <c r="B29" s="5" t="inlineStr">
        <is>
          <t>mortalite_evitable</t>
        </is>
      </c>
      <c r="C29" s="6" t="inlineStr">
        <is>
          <t>mortalite_evitable</t>
        </is>
      </c>
      <c r="D29" s="5" t="inlineStr">
        <is>
          <t>Mortalité évitable (prévention et traitements)</t>
        </is>
      </c>
      <c r="E29" s="5" t="inlineStr">
        <is>
          <t>oui</t>
        </is>
      </c>
      <c r="F29" s="5" t="inlineStr">
        <is>
          <t>Taux standardisé de mortalité des moins de 75 ans pour les causes de décès évitables par la prévention primaire ou par des soins appropriés et rapides (liste commune OCDE-Eurostat), France.</t>
        </is>
      </c>
      <c r="G29" s="5" t="inlineStr">
        <is>
          <t>bas</t>
        </is>
      </c>
      <c r="H29" s="5" t="inlineStr">
        <is>
          <t>décès pour 100 000 habitants (taux standardisé)</t>
        </is>
      </c>
      <c r="I29" s="5" t="inlineStr">
        <is>
          <t>Eurostat (d'après l'INSEE-CépiDc) — sdg_03_42 (mortalité évitable par prévention et traitements)</t>
        </is>
      </c>
      <c r="J29" s="5" t="inlineStr">
        <is>
          <t>sdg_03_42?freq=A&amp;mortalit=TOTAL&amp;sex=T&amp;icd10=TOTAL&amp;unit=RT&amp;geo=FR</t>
        </is>
      </c>
      <c r="K29" s="5" t="inlineStr">
        <is>
          <t>2011-2023 (13 points, annuelle)</t>
        </is>
      </c>
      <c r="L29" s="5" t="inlineStr">
        <is>
          <t>resultat</t>
        </is>
      </c>
      <c r="M29" s="5" t="inlineStr">
        <is>
          <t>non</t>
        </is>
      </c>
      <c r="N29" s="5" t="inlineStr">
        <is>
          <t>non</t>
        </is>
      </c>
      <c r="O29" s="5" t="inlineStr">
        <is>
          <t>non</t>
        </is>
      </c>
      <c r="P29" s="5" t="inlineStr">
        <is>
          <t>non</t>
        </is>
      </c>
      <c r="Q29" s="5" t="inlineStr">
        <is>
          <t>retenir</t>
        </is>
      </c>
      <c r="R29" s="5" t="inlineStr">
        <is>
          <t>Indicateur du tableau de bord ODD de l'UE, annuel de 2011 à 2023 (214,83 pour 100 000 en 2011, 185,84 en 2019, 204,06 en 2021, 185,97 en 2023), sans drapeau.</t>
        </is>
      </c>
      <c r="S29" s="5" t="inlineStr">
        <is>
          <t>retenu</t>
        </is>
      </c>
      <c r="T29" s="7" t="inlineStr"/>
      <c r="U29" s="7" t="inlineStr"/>
    </row>
    <row r="30" ht="60" customHeight="1">
      <c r="A30" s="5" t="inlineStr">
        <is>
          <t>mortalité</t>
        </is>
      </c>
      <c r="B30" s="5" t="inlineStr">
        <is>
          <t>mortalite_evitable</t>
        </is>
      </c>
      <c r="C30" s="5" t="inlineStr">
        <is>
          <t>mortalite_traitable</t>
        </is>
      </c>
      <c r="D30" s="5" t="inlineStr">
        <is>
          <t>Mortalité évitable grâce aux traitements (mortalité traitable)</t>
        </is>
      </c>
      <c r="E30" s="5" t="inlineStr">
        <is>
          <t>non</t>
        </is>
      </c>
      <c r="F30" s="5" t="inlineStr">
        <is>
          <t>Taux standardisé de mortalité des moins de 75 ans pour les causes de décès qui auraient pu être évitées par des soins appropriés et rapides (liste commune OCDE-Eurostat), France.</t>
        </is>
      </c>
      <c r="G30" s="5" t="inlineStr">
        <is>
          <t>bas</t>
        </is>
      </c>
      <c r="H30" s="5" t="inlineStr">
        <is>
          <t>décès pour 100 000 habitants (taux standardisé)</t>
        </is>
      </c>
      <c r="I30" s="5" t="inlineStr">
        <is>
          <t>Eurostat (d'après l'INSEE-CépiDc) — sdg_03_42 (mortalité évitable par prévention et traitements), modalité TRT</t>
        </is>
      </c>
      <c r="J30" s="5" t="inlineStr">
        <is>
          <t>sdg_03_42?freq=A&amp;mortalit=TRT&amp;sex=T&amp;icd10=TOTAL&amp;unit=RT&amp;geo=FR</t>
        </is>
      </c>
      <c r="K30" s="5" t="inlineStr">
        <is>
          <t>2011-2023 (13 points, annuelle)</t>
        </is>
      </c>
      <c r="L30" s="5" t="inlineStr">
        <is>
          <t>resultat</t>
        </is>
      </c>
      <c r="M30" s="5" t="inlineStr">
        <is>
          <t>non</t>
        </is>
      </c>
      <c r="N30" s="5" t="inlineStr">
        <is>
          <t>non</t>
        </is>
      </c>
      <c r="O30" s="5" t="inlineStr">
        <is>
          <t>non</t>
        </is>
      </c>
      <c r="P30" s="5" t="inlineStr">
        <is>
          <t>non</t>
        </is>
      </c>
      <c r="Q30" s="5" t="inlineStr">
        <is>
          <t>retenir_variante</t>
        </is>
      </c>
      <c r="R30" s="5" t="inlineStr">
        <is>
          <t>Lecture de la mortalité évitable propre au système de soins, annuelle de 2011 à 2023 (67,64 pour 100 000 en 2011, 58,76 en 2023) et sans remontée en 2020-2021, contrairement au total.</t>
        </is>
      </c>
      <c r="S30" s="5" t="inlineStr">
        <is>
          <t>retenu</t>
        </is>
      </c>
      <c r="T30" s="7" t="inlineStr"/>
      <c r="U30" s="7" t="inlineStr"/>
    </row>
    <row r="31" ht="60" customHeight="1">
      <c r="A31" s="5" t="inlineStr">
        <is>
          <t>mortalité</t>
        </is>
      </c>
      <c r="B31" s="5" t="inlineStr">
        <is>
          <t>mortalite_infantile</t>
        </is>
      </c>
      <c r="C31" s="6" t="inlineStr">
        <is>
          <t>mortalite_infantile</t>
        </is>
      </c>
      <c r="D31" s="5" t="inlineStr">
        <is>
          <t>Taux de mortalité infantile</t>
        </is>
      </c>
      <c r="E31" s="5" t="inlineStr">
        <is>
          <t>oui</t>
        </is>
      </c>
      <c r="F31" s="5" t="inlineStr">
        <is>
          <t>Nombre d'enfants décédés avant un an pour 1 000 enfants nés vivants, France (y compris Mayotte depuis 2014), état civil.</t>
        </is>
      </c>
      <c r="G31" s="5" t="inlineStr">
        <is>
          <t>bas</t>
        </is>
      </c>
      <c r="H31" s="5" t="inlineStr">
        <is>
          <t>décès pour 1 000 naissances vivantes</t>
        </is>
      </c>
      <c r="I31" s="5" t="inlineStr">
        <is>
          <t>INSEE — Démographie, état civil (BDM)</t>
        </is>
      </c>
      <c r="J31" s="5" t="inlineStr">
        <is>
          <t>001641594</t>
        </is>
      </c>
      <c r="K31" s="5" t="inlineStr">
        <is>
          <t>1994-2025 (26 points, annuelle)</t>
        </is>
      </c>
      <c r="L31" s="5" t="inlineStr">
        <is>
          <t>resultat</t>
        </is>
      </c>
      <c r="M31" s="5" t="inlineStr">
        <is>
          <t>non</t>
        </is>
      </c>
      <c r="N31" s="5" t="inlineStr">
        <is>
          <t>non</t>
        </is>
      </c>
      <c r="O31" s="5" t="inlineStr">
        <is>
          <t>non</t>
        </is>
      </c>
      <c r="P31" s="5" t="inlineStr">
        <is>
          <t>non</t>
        </is>
      </c>
      <c r="Q31" s="5" t="inlineStr">
        <is>
          <t>retenir</t>
        </is>
      </c>
      <c r="R31" s="5" t="inlineStr">
        <is>
          <t>Indicateur de la cible ODD 3.2, annuel de 1994 à 2025 (état civil), qui remonte de 3,5 ‰ en 2011, 2012 et 2014 à 4,1 ‰ en 2024.</t>
        </is>
      </c>
      <c r="S31" s="5" t="inlineStr">
        <is>
          <t>retenu</t>
        </is>
      </c>
      <c r="T31" s="7" t="inlineStr"/>
      <c r="U31" s="7" t="inlineStr"/>
    </row>
    <row r="32" ht="60" customHeight="1">
      <c r="A32" s="5" t="inlineStr">
        <is>
          <t>mortalité</t>
        </is>
      </c>
      <c r="B32" s="5" t="inlineStr">
        <is>
          <t>mortalite_prematuree</t>
        </is>
      </c>
      <c r="C32" s="6" t="inlineStr">
        <is>
          <t>mortalite_prematuree</t>
        </is>
      </c>
      <c r="D32" s="5" t="inlineStr">
        <is>
          <t>Taux de mortalité prématurée (avant 65 ans)</t>
        </is>
      </c>
      <c r="E32" s="5" t="inlineStr">
        <is>
          <t>oui</t>
        </is>
      </c>
      <c r="F32" s="5" t="inlineStr">
        <is>
          <t>Taux standardisé de mortalité des personnes de moins de 65 ans (structure par âge de référence), France (y compris Mayotte depuis 2014), état civil.</t>
        </is>
      </c>
      <c r="G32" s="5" t="inlineStr">
        <is>
          <t>bas</t>
        </is>
      </c>
      <c r="H32" s="5" t="inlineStr">
        <is>
          <t>décès pour 1 000 habitants de moins de 65 ans (taux standardisé)</t>
        </is>
      </c>
      <c r="I32" s="5" t="inlineStr">
        <is>
          <t>INSEE — Démographie, état civil (BDM)</t>
        </is>
      </c>
      <c r="J32" s="5" t="inlineStr">
        <is>
          <t>001744911</t>
        </is>
      </c>
      <c r="K32" s="5" t="inlineStr">
        <is>
          <t>1998-2025 (26 points, annuelle)</t>
        </is>
      </c>
      <c r="L32" s="5" t="inlineStr">
        <is>
          <t>resultat</t>
        </is>
      </c>
      <c r="M32" s="5" t="inlineStr">
        <is>
          <t>non</t>
        </is>
      </c>
      <c r="N32" s="5" t="inlineStr">
        <is>
          <t>non</t>
        </is>
      </c>
      <c r="O32" s="5" t="inlineStr">
        <is>
          <t>non</t>
        </is>
      </c>
      <c r="P32" s="5" t="inlineStr">
        <is>
          <t>non</t>
        </is>
      </c>
      <c r="Q32" s="5" t="inlineStr">
        <is>
          <t>retenir</t>
        </is>
      </c>
      <c r="R32" s="5" t="inlineStr">
        <is>
          <t>Mesure annuelle de l'INSEE de 1998 à 2025 (2,2 ‰ en 2000, 1,7 ‰ en 2025, provisoire), centrée sur les décès avant 65 ans que l'espérance de vie mêle aux décès des âges élevés.</t>
        </is>
      </c>
      <c r="S32" s="5" t="inlineStr">
        <is>
          <t>retenu</t>
        </is>
      </c>
      <c r="T32" s="7" t="inlineStr"/>
      <c r="U32" s="7" t="inlineStr"/>
    </row>
    <row r="33" ht="60" customHeight="1">
      <c r="A33" s="5" t="inlineStr">
        <is>
          <t>mortalité</t>
        </is>
      </c>
      <c r="B33" s="5" t="inlineStr">
        <is>
          <t>mortalite_prematuree</t>
        </is>
      </c>
      <c r="C33" s="5" t="inlineStr">
        <is>
          <t>mortalite_prematuree_mnt</t>
        </is>
      </c>
      <c r="D33" s="5" t="inlineStr">
        <is>
          <t>Mortalité prématurée par maladies non transmissibles (30-69 ans)</t>
        </is>
      </c>
      <c r="E33" s="5" t="inlineStr">
        <is>
          <t>non</t>
        </is>
      </c>
      <c r="F33" s="5" t="inlineStr">
        <is>
          <t>Probabilité de décéder entre 30 et 70 ans d'une maladie cardiovasculaire, d'un cancer, du diabète ou d'une maladie respiratoire chronique (indicateur ODD 3.4.1, estimations de l'OMS reprises par l'OCDE).</t>
        </is>
      </c>
      <c r="G33" s="5" t="inlineStr">
        <is>
          <t>bas</t>
        </is>
      </c>
      <c r="H33" s="5" t="inlineStr">
        <is>
          <t>% (probabilité de décès entre 30 et 70 ans)</t>
        </is>
      </c>
      <c r="I33" s="5" t="inlineStr">
        <is>
          <t>OCDE (d'après l'OMS) — Base ODD de l'OCDE, objectif 3 (indicateur 3.4.1)</t>
        </is>
      </c>
      <c r="J33" s="5" t="inlineStr">
        <is>
          <t>odd_3 : 3_4_1_SH_DTH_NCOM.Y30T69._T._T._T._T.FCTR_POP_MORT</t>
        </is>
      </c>
      <c r="K33" s="5" t="inlineStr">
        <is>
          <t>2000-2021 (7 points, irreguliere)</t>
        </is>
      </c>
      <c r="L33" s="5" t="inlineStr">
        <is>
          <t>resultat</t>
        </is>
      </c>
      <c r="M33" s="5" t="inlineStr">
        <is>
          <t>non</t>
        </is>
      </c>
      <c r="N33" s="5" t="inlineStr">
        <is>
          <t>non</t>
        </is>
      </c>
      <c r="O33" s="5" t="inlineStr">
        <is>
          <t>non</t>
        </is>
      </c>
      <c r="P33" s="5" t="inlineStr">
        <is>
          <t>non</t>
        </is>
      </c>
      <c r="Q33" s="5" t="inlineStr">
        <is>
          <t>retenir_variante</t>
        </is>
      </c>
      <c r="R33" s="5" t="inlineStr">
        <is>
          <t>Indicateur de la cible ODD 3.4 (réduire d'un tiers en 2030 par rapport à 2015), 7 années de 2000 à 2021 (2000, 2005, 2010, 2015, 2019-2021 ; 10,2 % en 2021), admis comme série irrégulière (D17).</t>
        </is>
      </c>
      <c r="S33" s="5" t="inlineStr">
        <is>
          <t>retenu</t>
        </is>
      </c>
      <c r="T33" s="7" t="inlineStr"/>
      <c r="U33" s="7" t="inlineStr"/>
    </row>
    <row r="34" ht="60" customHeight="1">
      <c r="A34" s="5" t="inlineStr">
        <is>
          <t>perceptions</t>
        </is>
      </c>
      <c r="B34" s="5" t="inlineStr">
        <is>
          <t>sante_francais_percue</t>
        </is>
      </c>
      <c r="C34" s="6" t="inlineStr">
        <is>
          <t>sante_francais_percue_degradee</t>
        </is>
      </c>
      <c r="D34" s="5" t="inlineStr">
        <is>
          <t>Personnes estimant que l'état de santé des Français s'est détérioré</t>
        </is>
      </c>
      <c r="E34" s="5" t="inlineStr">
        <is>
          <t>oui</t>
        </is>
      </c>
      <c r="F34" s="5" t="inlineStr">
        <is>
          <t>Part des personnes interrogées par le baromètre d'opinion de la DREES qui estiment que l'état de santé des Français s'est « un peu » ou « beaucoup » détérioré au cours des dernières années (question SA05, modalités 3 et …</t>
        </is>
      </c>
      <c r="G34" s="5" t="inlineStr">
        <is>
          <t>bas</t>
        </is>
      </c>
      <c r="H34" s="5" t="inlineStr">
        <is>
          <t>% des répondants</t>
        </is>
      </c>
      <c r="I34" s="5" t="inlineStr">
        <is>
          <t>DREES (baromètre d'opinion) — Baromètre d'opinion de la DREES (data.drees, jeu 431_le-barometre-d-opinion), microdonnées pondérées, question SA05</t>
        </is>
      </c>
      <c r="J34" s="5" t="inlineStr">
        <is>
          <t>data.drees.solidarites-sante.gouv.fr, jeu 431_le-barometre-d-opinion, pièce jointe barometre2000_2025_diff_csv ; variable SA05, modalités 3+4</t>
        </is>
      </c>
      <c r="K34" s="5" t="inlineStr">
        <is>
          <t>2000-2025 (25 points, annuelle)</t>
        </is>
      </c>
      <c r="L34" s="5" t="inlineStr">
        <is>
          <t>resultat</t>
        </is>
      </c>
      <c r="M34" s="5" t="inlineStr">
        <is>
          <t>oui</t>
        </is>
      </c>
      <c r="N34" s="5" t="inlineStr">
        <is>
          <t>non</t>
        </is>
      </c>
      <c r="O34" s="5" t="inlineStr">
        <is>
          <t>non</t>
        </is>
      </c>
      <c r="P34" s="5" t="inlineStr">
        <is>
          <t>non</t>
        </is>
      </c>
      <c r="Q34" s="5" t="inlineStr">
        <is>
          <t>retenir</t>
        </is>
      </c>
      <c r="R34" s="5" t="inlineStr">
        <is>
          <t>Opinion sur la société (D32) posée chaque année depuis 2000 sauf en 2003 (25 vagues ; 26,9 % en 2000, 61,2 % en 2025), valeur 2025 recoupée sur le tableau officiel de la DREES (61,24 %).</t>
        </is>
      </c>
      <c r="S34" s="5" t="inlineStr">
        <is>
          <t>retenu</t>
        </is>
      </c>
      <c r="T34" s="7" t="inlineStr"/>
      <c r="U34" s="7" t="inlineStr"/>
    </row>
    <row r="35" ht="60" customHeight="1">
      <c r="A35" s="5" t="inlineStr">
        <is>
          <t>perceptions</t>
        </is>
      </c>
      <c r="B35" s="5" t="inlineStr">
        <is>
          <t>satisfaction_soins</t>
        </is>
      </c>
      <c r="C35" s="6" t="inlineStr">
        <is>
          <t>satisfaction_soins_hopital</t>
        </is>
      </c>
      <c r="D35" s="5" t="inlineStr">
        <is>
          <t>Satisfaction à l'égard de la qualité des soins des hôpitaux publics</t>
        </is>
      </c>
      <c r="E35" s="5" t="inlineStr">
        <is>
          <t>oui</t>
        </is>
      </c>
      <c r="F35" s="5" t="inlineStr">
        <is>
          <t>Part des personnes qui se disent « très » ou « plutôt » satisfaites de la qualité des soins ou des services des hôpitaux publics (hors urgences et maternités), parmi les répondants du baromètre d'opinion de la DREES qui …</t>
        </is>
      </c>
      <c r="G35" s="5" t="inlineStr">
        <is>
          <t>haut</t>
        </is>
      </c>
      <c r="H35" s="5" t="inlineStr">
        <is>
          <t>% des répondants hors « jamais allé.e »</t>
        </is>
      </c>
      <c r="I35" s="5" t="inlineStr">
        <is>
          <t>DREES (baromètre d'opinion) — Baromètre d'opinion de la DREES (data.drees, jeu 431_le-barometre-d-opinion), microdonnées pondérées, question SA07_1</t>
        </is>
      </c>
      <c r="J35" s="5" t="inlineStr">
        <is>
          <t>data.drees.solidarites-sante.gouv.fr, jeu 431_le-barometre-d-opinion, pièce jointe barometre2000_2025_diff_csv ; variable SA07_1, (modalités 1+2) / (100 - modalité 6)</t>
        </is>
      </c>
      <c r="K35" s="5" t="inlineStr">
        <is>
          <t>2010-2025 (14 points, annuelle)</t>
        </is>
      </c>
      <c r="L35" s="5" t="inlineStr">
        <is>
          <t>resultat</t>
        </is>
      </c>
      <c r="M35" s="5" t="inlineStr">
        <is>
          <t>oui</t>
        </is>
      </c>
      <c r="N35" s="5" t="inlineStr">
        <is>
          <t>non</t>
        </is>
      </c>
      <c r="O35" s="5" t="inlineStr">
        <is>
          <t>non</t>
        </is>
      </c>
      <c r="P35" s="5" t="inlineStr">
        <is>
          <t>non</t>
        </is>
      </c>
      <c r="Q35" s="5" t="inlineStr">
        <is>
          <t>retenir</t>
        </is>
      </c>
      <c r="R35" s="5" t="inlineStr">
        <is>
          <t>Seule mesure de satisfaction à l'égard du système de soins (R4), 14 vagues de 2010 à 2025 (69,2 % en 2010, 75,2 % en 2014, 63,7 % en 2025 parmi les répondants qui ont un avis), calculée par le projet et retenue avec le drapeau non_recoupe et un contrôle de plausibilité (D38 b).</t>
        </is>
      </c>
      <c r="S35" s="5" t="inlineStr">
        <is>
          <t>retenu</t>
        </is>
      </c>
      <c r="T35" s="7" t="inlineStr"/>
      <c r="U35" s="7" t="inlineStr"/>
    </row>
    <row r="36" ht="60" customHeight="1">
      <c r="A36" s="5" t="inlineStr">
        <is>
          <t>perceptions</t>
        </is>
      </c>
      <c r="B36" s="5" t="inlineStr">
        <is>
          <t>satisfaction_soins</t>
        </is>
      </c>
      <c r="C36" s="5" t="inlineStr">
        <is>
          <t>satisfaction_urgences</t>
        </is>
      </c>
      <c r="D36" s="5" t="inlineStr">
        <is>
          <t>Satisfaction à l'égard de la qualité des soins des urgences hospitalières</t>
        </is>
      </c>
      <c r="E36" s="5" t="inlineStr">
        <is>
          <t>non</t>
        </is>
      </c>
      <c r="F36" s="5" t="inlineStr">
        <is>
          <t>Part des personnes qui se disent « très » ou « plutôt » satisfaites de la qualité des soins ou des services des urgences hospitalières, parmi les répondants du baromètre d'opinion de la DREES qui ont un avis sur ce …</t>
        </is>
      </c>
      <c r="G36" s="5" t="inlineStr">
        <is>
          <t>haut</t>
        </is>
      </c>
      <c r="H36" s="5" t="inlineStr">
        <is>
          <t>% des répondants hors « jamais allé.e »</t>
        </is>
      </c>
      <c r="I36" s="5" t="inlineStr">
        <is>
          <t>DREES (baromètre d'opinion) — Baromètre d'opinion de la DREES (data.drees, jeu 431_le-barometre-d-opinion), microdonnées pondérées, question SA07_2</t>
        </is>
      </c>
      <c r="J36" s="5" t="inlineStr">
        <is>
          <t>data.drees.solidarites-sante.gouv.fr, jeu 431_le-barometre-d-opinion, pièce jointe barometre2000_2025_diff_csv ; variable SA07_2, (modalités 1+2) / (100 - modalité 6)</t>
        </is>
      </c>
      <c r="K36" s="5" t="inlineStr">
        <is>
          <t>2010-2025 (16 points, annuelle)</t>
        </is>
      </c>
      <c r="L36" s="5" t="inlineStr">
        <is>
          <t>resultat</t>
        </is>
      </c>
      <c r="M36" s="5" t="inlineStr">
        <is>
          <t>oui</t>
        </is>
      </c>
      <c r="N36" s="5" t="inlineStr">
        <is>
          <t>non</t>
        </is>
      </c>
      <c r="O36" s="5" t="inlineStr">
        <is>
          <t>non</t>
        </is>
      </c>
      <c r="P36" s="5" t="inlineStr">
        <is>
          <t>non</t>
        </is>
      </c>
      <c r="Q36" s="5" t="inlineStr">
        <is>
          <t>retenir_variante</t>
        </is>
      </c>
      <c r="R36" s="5" t="inlineStr">
        <is>
          <t>Satisfaction à l'égard des urgences hospitalières, objet voisin des hôpitaux publics, posée chaque année de 2010 à 2025 (16 vagues ; 63,0 % en 2010, 57,0 % en 2014, 42,8 % en 2022, 44,1 % en 2025 parmi les répondants qui ont un avis), calculée par le projet et non recoupée (D38 b).</t>
        </is>
      </c>
      <c r="S36" s="5" t="inlineStr">
        <is>
          <t>retenu</t>
        </is>
      </c>
      <c r="T36" s="7" t="inlineStr"/>
      <c r="U36" s="7" t="inlineStr"/>
    </row>
    <row r="37" ht="60" customHeight="1">
      <c r="A37" s="5" t="inlineStr">
        <is>
          <t>périnatalité</t>
        </is>
      </c>
      <c r="B37" s="5" t="inlineStr">
        <is>
          <t>mortalite_maternelle</t>
        </is>
      </c>
      <c r="C37" s="6" t="inlineStr">
        <is>
          <t>mortalite_maternelle</t>
        </is>
      </c>
      <c r="D37" s="5" t="inlineStr">
        <is>
          <t>Ratio de mortalité maternelle</t>
        </is>
      </c>
      <c r="E37" s="5" t="inlineStr">
        <is>
          <t>oui</t>
        </is>
      </c>
      <c r="F37" s="5" t="inlineStr">
        <is>
          <t>Nombre de décès de femmes liés à la grossesse ou à l'accouchement pour 100 000 naissances vivantes (estimations du groupe interagences des Nations unies, reprises par le PNUD).</t>
        </is>
      </c>
      <c r="G37" s="5" t="inlineStr">
        <is>
          <t>bas</t>
        </is>
      </c>
      <c r="H37" s="5" t="inlineStr">
        <is>
          <t>décès pour 100 000 naissances vivantes</t>
        </is>
      </c>
      <c r="I37" s="5" t="inlineStr">
        <is>
          <t>PNUD (d'après le groupe interagences des Nations unies) — Rapport sur le développement humain 2025, séries des indices composites (colonnes mmr)</t>
        </is>
      </c>
      <c r="J37" s="5" t="inlineStr">
        <is>
          <t>https://hdr.undp.org/sites/default/files/2025_HDR/HDR25_Composite_indices_complete_time_series.csv (colonnes mmr_&lt;année&gt;)</t>
        </is>
      </c>
      <c r="K37" s="5" t="inlineStr">
        <is>
          <t>1990-2023 (24 points, annuelle)</t>
        </is>
      </c>
      <c r="L37" s="5" t="inlineStr">
        <is>
          <t>resultat</t>
        </is>
      </c>
      <c r="M37" s="5" t="inlineStr">
        <is>
          <t>non</t>
        </is>
      </c>
      <c r="N37" s="5" t="inlineStr">
        <is>
          <t>non</t>
        </is>
      </c>
      <c r="O37" s="5" t="inlineStr">
        <is>
          <t>non</t>
        </is>
      </c>
      <c r="P37" s="5" t="inlineStr">
        <is>
          <t>non</t>
        </is>
      </c>
      <c r="Q37" s="5" t="inlineStr">
        <is>
          <t>retenir</t>
        </is>
      </c>
      <c r="R37" s="5" t="inlineStr">
        <is>
          <t>Indicateur de la cible ODD 3.1, série annuelle de 1990 à 2023 (7,9 pour 100 000 en 2023), seule série nationale au catalogue.</t>
        </is>
      </c>
      <c r="S37" s="5" t="inlineStr">
        <is>
          <t>retenu</t>
        </is>
      </c>
      <c r="T37" s="7" t="inlineStr"/>
      <c r="U37" s="7" t="inlineStr"/>
    </row>
    <row r="38" ht="60" customHeight="1">
      <c r="A38" s="5" t="inlineStr">
        <is>
          <t>périnatalité</t>
        </is>
      </c>
      <c r="B38" s="5" t="inlineStr">
        <is>
          <t>mortinatalite</t>
        </is>
      </c>
      <c r="C38" s="6" t="inlineStr">
        <is>
          <t>mortinatalite</t>
        </is>
      </c>
      <c r="D38" s="5" t="inlineStr">
        <is>
          <t>Mortinatalité spontanée</t>
        </is>
      </c>
      <c r="E38" s="5" t="inlineStr">
        <is>
          <t>oui</t>
        </is>
      </c>
      <c r="F38" s="5" t="inlineStr">
        <is>
          <t>Nombre d'enfants mort-nés, hors interruptions médicales de grossesse (mortinatalité spontanée), pour 1 000 naissances, France (Santé publique France).</t>
        </is>
      </c>
      <c r="G38" s="5" t="inlineStr">
        <is>
          <t>bas</t>
        </is>
      </c>
      <c r="H38" s="5" t="inlineStr">
        <is>
          <t>mort-nés pour 1 000 naissances</t>
        </is>
      </c>
      <c r="I38" s="5" t="inlineStr">
        <is>
          <t>Santé publique France — Odissé, jeu mortalite-infantile-et-mortinatalite-france (tx1000_mortinatalite_spontanee)</t>
        </is>
      </c>
      <c r="J38" s="5" t="inlineStr">
        <is>
          <t>mortalite-infantile-et-mortinatalite-france#tx1000_mortinatalite_spontanee</t>
        </is>
      </c>
      <c r="K38" s="5" t="inlineStr">
        <is>
          <t>2014-2024 (11 points, annuelle)</t>
        </is>
      </c>
      <c r="L38" s="5" t="inlineStr">
        <is>
          <t>resultat</t>
        </is>
      </c>
      <c r="M38" s="5" t="inlineStr">
        <is>
          <t>non</t>
        </is>
      </c>
      <c r="N38" s="5" t="inlineStr">
        <is>
          <t>non</t>
        </is>
      </c>
      <c r="O38" s="5" t="inlineStr">
        <is>
          <t>non</t>
        </is>
      </c>
      <c r="P38" s="5" t="inlineStr">
        <is>
          <t>non</t>
        </is>
      </c>
      <c r="Q38" s="5" t="inlineStr">
        <is>
          <t>retenir</t>
        </is>
      </c>
      <c r="R38" s="5" t="inlineStr">
        <is>
          <t>Seule série de mortinatalité qui exclut les interruptions médicales de grossesse, annuelle de 2014 à 2024 (11 valeurs ; 5,627 pour 1 000 en 2024), le taux total d'Eurostat restant en variante.</t>
        </is>
      </c>
      <c r="S38" s="5" t="inlineStr">
        <is>
          <t>retenu</t>
        </is>
      </c>
      <c r="T38" s="7" t="inlineStr"/>
      <c r="U38" s="7" t="inlineStr"/>
    </row>
    <row r="39" ht="60" customHeight="1">
      <c r="A39" s="5" t="inlineStr">
        <is>
          <t>périnatalité</t>
        </is>
      </c>
      <c r="B39" s="5" t="inlineStr">
        <is>
          <t>naissances_prematurees</t>
        </is>
      </c>
      <c r="C39" s="6" t="inlineStr">
        <is>
          <t>naissances_prematurees</t>
        </is>
      </c>
      <c r="D39" s="5" t="inlineStr">
        <is>
          <t>Naissances prématurées</t>
        </is>
      </c>
      <c r="E39" s="5" t="inlineStr">
        <is>
          <t>oui</t>
        </is>
      </c>
      <c r="F39" s="5" t="inlineStr">
        <is>
          <t>Part des naissances vivantes survenues avant 37 semaines d'aménorrhée, France (Santé publique France, d'après le PMSI).</t>
        </is>
      </c>
      <c r="G39" s="5" t="inlineStr">
        <is>
          <t>bas</t>
        </is>
      </c>
      <c r="H39" s="5" t="inlineStr">
        <is>
          <t>% des naissances</t>
        </is>
      </c>
      <c r="I39" s="5" t="inlineStr">
        <is>
          <t>Santé publique France — Odissé, jeu perinatalite-prematurite-france (tx_prematurite_inf37sa)</t>
        </is>
      </c>
      <c r="J39" s="5" t="inlineStr">
        <is>
          <t>https://odisse.santepubliquefrance.fr/api/explore/v2.1/catalog/datasets/perinatalite-prematurite-france (tx_prematurite_inf37sa)</t>
        </is>
      </c>
      <c r="K39" s="5" t="inlineStr">
        <is>
          <t>2012-2024 (13 points, annuelle)</t>
        </is>
      </c>
      <c r="L39" s="5" t="inlineStr">
        <is>
          <t>resultat</t>
        </is>
      </c>
      <c r="M39" s="5" t="inlineStr">
        <is>
          <t>non</t>
        </is>
      </c>
      <c r="N39" s="5" t="inlineStr">
        <is>
          <t>non</t>
        </is>
      </c>
      <c r="O39" s="5" t="inlineStr">
        <is>
          <t>non</t>
        </is>
      </c>
      <c r="P39" s="5" t="inlineStr">
        <is>
          <t>non</t>
        </is>
      </c>
      <c r="Q39" s="5" t="inlineStr">
        <is>
          <t>retenir</t>
        </is>
      </c>
      <c r="R39" s="5" t="inlineStr">
        <is>
          <t>Seule mesure annuelle de la santé à la naissance au catalogue, 13 années de 2012 à 2024 (6,69 % en 2024).</t>
        </is>
      </c>
      <c r="S39" s="5" t="inlineStr">
        <is>
          <t>retenu</t>
        </is>
      </c>
      <c r="T39" s="7" t="inlineStr"/>
      <c r="U39" s="7" t="inlineStr"/>
    </row>
    <row r="40" ht="60" customHeight="1">
      <c r="A40" s="5" t="inlineStr">
        <is>
          <t>périnatalité</t>
        </is>
      </c>
      <c r="B40" s="5" t="inlineStr">
        <is>
          <t>natalite_adolescentes</t>
        </is>
      </c>
      <c r="C40" s="6" t="inlineStr">
        <is>
          <t>natalite_adolescentes</t>
        </is>
      </c>
      <c r="D40" s="5" t="inlineStr">
        <is>
          <t>Taux de natalité des adolescentes</t>
        </is>
      </c>
      <c r="E40" s="5" t="inlineStr">
        <is>
          <t>oui</t>
        </is>
      </c>
      <c r="F40" s="5" t="inlineStr">
        <is>
          <t>Nombre de naissances pour 1 000 femmes de 15 à 19 ans (PNUD, d'après les Nations unies).</t>
        </is>
      </c>
      <c r="G40" s="5" t="inlineStr">
        <is>
          <t>bas</t>
        </is>
      </c>
      <c r="H40" s="5" t="inlineStr">
        <is>
          <t>naissances pour 1 000 femmes de 15 à 19 ans</t>
        </is>
      </c>
      <c r="I40" s="5" t="inlineStr">
        <is>
          <t>PNUD (d'après la Division de la population des Nations unies) — Rapport sur le développement humain 2025, séries des indices composites (colonnes abr)</t>
        </is>
      </c>
      <c r="J40" s="5" t="inlineStr">
        <is>
          <t>https://hdr.undp.org/sites/default/files/2025_HDR/HDR25_Composite_indices_complete_time_series.csv (colonnes abr_&lt;année&gt;)</t>
        </is>
      </c>
      <c r="K40" s="5" t="inlineStr">
        <is>
          <t>1990-2023 (24 points, annuelle)</t>
        </is>
      </c>
      <c r="L40" s="5" t="inlineStr">
        <is>
          <t>resultat</t>
        </is>
      </c>
      <c r="M40" s="5" t="inlineStr">
        <is>
          <t>non</t>
        </is>
      </c>
      <c r="N40" s="5" t="inlineStr">
        <is>
          <t>non</t>
        </is>
      </c>
      <c r="O40" s="5" t="inlineStr">
        <is>
          <t>non</t>
        </is>
      </c>
      <c r="P40" s="5" t="inlineStr">
        <is>
          <t>non</t>
        </is>
      </c>
      <c r="Q40" s="5" t="inlineStr">
        <is>
          <t>retenir</t>
        </is>
      </c>
      <c r="R40" s="5" t="inlineStr">
        <is>
          <t>Indicateur de la cible ODD 3.7 (santé sexuelle et reproductive), annuel de 1990 à 2023 (3,5 pour 1 000 en 2023), à la limite du contenu de la dimension.</t>
        </is>
      </c>
      <c r="S40" s="5" t="inlineStr">
        <is>
          <t>retenu</t>
        </is>
      </c>
      <c r="T40" s="7" t="inlineStr"/>
      <c r="U40" s="7" t="inlineStr"/>
    </row>
    <row r="41" ht="60" customHeight="1">
      <c r="A41" s="5" t="inlineStr">
        <is>
          <t>santé mentale</t>
        </is>
      </c>
      <c r="B41" s="5" t="inlineStr">
        <is>
          <t>sante_mentale</t>
        </is>
      </c>
      <c r="C41" s="6" t="inlineStr">
        <is>
          <t>episodes_depressifs</t>
        </is>
      </c>
      <c r="D41" s="5" t="inlineStr">
        <is>
          <t>Épisodes dépressifs caractérisés au cours des 12 derniers mois</t>
        </is>
      </c>
      <c r="E41" s="5" t="inlineStr">
        <is>
          <t>oui</t>
        </is>
      </c>
      <c r="F41" s="5" t="inlineStr">
        <is>
          <t>Part des 18-75 ans résidant en France métropolitaine ayant connu un épisode dépressif caractérisé au cours des 12 derniers mois (questionnaire CIDI-SF du Baromètre santé de Santé publique France).</t>
        </is>
      </c>
      <c r="G41" s="5" t="inlineStr">
        <is>
          <t>bas</t>
        </is>
      </c>
      <c r="H41" s="5" t="inlineStr">
        <is>
          <t>% des 18-75 ans</t>
        </is>
      </c>
      <c r="I41" s="5" t="inlineStr">
        <is>
          <t>Santé publique France — Odissé, jeu sante-mentale-episodes-depressifs-caracterises-dans-les-12-derniers-mois_fra</t>
        </is>
      </c>
      <c r="J41" s="5" t="inlineStr">
        <is>
          <t>https://odisse.santepubliquefrance.fr/api/explore/v2.1/catalog/datasets/sante-mentale-episodes-depressifs-…_fra</t>
        </is>
      </c>
      <c r="K41" s="5" t="inlineStr">
        <is>
          <t>2005-2021 (4 points, irreguliere)</t>
        </is>
      </c>
      <c r="L41" s="5" t="inlineStr">
        <is>
          <t>resultat</t>
        </is>
      </c>
      <c r="M41" s="5" t="inlineStr">
        <is>
          <t>non</t>
        </is>
      </c>
      <c r="N41" s="5" t="inlineStr">
        <is>
          <t>non</t>
        </is>
      </c>
      <c r="O41" s="5" t="inlineStr">
        <is>
          <t>oui</t>
        </is>
      </c>
      <c r="P41" s="5" t="inlineStr">
        <is>
          <t>oui</t>
        </is>
      </c>
      <c r="Q41" s="5" t="inlineStr">
        <is>
          <t>retenir</t>
        </is>
      </c>
      <c r="R41" s="5" t="inlineStr">
        <is>
          <t>Seule mesure de prévalence de la dépression, 4 vagues comparables (2005, 2010, 2017, 2021 ; 13,3 % des 18-75 ans en 2021) admises comme série irrégulière (D17), incontournable au titre de la santé mentale (D43).</t>
        </is>
      </c>
      <c r="S41" s="5" t="inlineStr">
        <is>
          <t>retenu_socle</t>
        </is>
      </c>
      <c r="T41" s="7" t="inlineStr"/>
      <c r="U41" s="7" t="inlineStr"/>
    </row>
    <row r="42" ht="60" customHeight="1">
      <c r="A42" s="5" t="inlineStr">
        <is>
          <t>santé mentale</t>
        </is>
      </c>
      <c r="B42" s="5" t="inlineStr">
        <is>
          <t>sante_mentale</t>
        </is>
      </c>
      <c r="C42" s="5" t="inlineStr">
        <is>
          <t>pensees_suicidaires</t>
        </is>
      </c>
      <c r="D42" s="5" t="inlineStr">
        <is>
          <t>Pensées suicidaires au cours des 12 derniers mois</t>
        </is>
      </c>
      <c r="E42" s="5" t="inlineStr">
        <is>
          <t>non</t>
        </is>
      </c>
      <c r="F42" s="5" t="inlineStr">
        <is>
          <t>Part des 18-75 ans résidant en France métropolitaine déclarant avoir pensé à se suicider au cours des 12 derniers mois (Baromètre santé de Santé publique France).</t>
        </is>
      </c>
      <c r="G42" s="5" t="inlineStr">
        <is>
          <t>bas</t>
        </is>
      </c>
      <c r="H42" s="5" t="inlineStr">
        <is>
          <t>% des 18-75 ans</t>
        </is>
      </c>
      <c r="I42" s="5" t="inlineStr">
        <is>
          <t>Santé publique France — Odissé, jeu sante-mentale-pensees-suicidaires-et-tentatives-de-suicide_fra (ps_12m_v)</t>
        </is>
      </c>
      <c r="J42" s="5" t="inlineStr">
        <is>
          <t>https://odisse.santepubliquefrance.fr/api/explore/v2.1/catalog/datasets/sante-mentale-pensees-suicidaires-et-tentatives-de-suicide_fra (ps_12m_v)</t>
        </is>
      </c>
      <c r="K42" s="5" t="inlineStr">
        <is>
          <t>2005-2021 (4 points, irreguliere)</t>
        </is>
      </c>
      <c r="L42" s="5" t="inlineStr">
        <is>
          <t>resultat</t>
        </is>
      </c>
      <c r="M42" s="5" t="inlineStr">
        <is>
          <t>non</t>
        </is>
      </c>
      <c r="N42" s="5" t="inlineStr">
        <is>
          <t>non</t>
        </is>
      </c>
      <c r="O42" s="5" t="inlineStr">
        <is>
          <t>non</t>
        </is>
      </c>
      <c r="P42" s="5" t="inlineStr">
        <is>
          <t>non</t>
        </is>
      </c>
      <c r="Q42" s="5" t="inlineStr">
        <is>
          <t>retenir_variante</t>
        </is>
      </c>
      <c r="R42" s="5" t="inlineStr">
        <is>
          <t>Lecture voisine de la santé mentale dans la même enquête, 4 vagues de 2005 à 2021 (4,2 % en 2021), admise comme série irrégulière (D17).</t>
        </is>
      </c>
      <c r="S42" s="5" t="inlineStr">
        <is>
          <t>retenu</t>
        </is>
      </c>
      <c r="T42" s="7" t="inlineStr"/>
      <c r="U42" s="7" t="inlineStr"/>
    </row>
    <row r="43" ht="60" customHeight="1">
      <c r="A43" s="5" t="inlineStr">
        <is>
          <t>santé mentale</t>
        </is>
      </c>
      <c r="B43" s="5" t="inlineStr">
        <is>
          <t>suicide</t>
        </is>
      </c>
      <c r="C43" s="6" t="inlineStr">
        <is>
          <t>suicide</t>
        </is>
      </c>
      <c r="D43" s="5" t="inlineStr">
        <is>
          <t>Taux de décès par suicide</t>
        </is>
      </c>
      <c r="E43" s="5" t="inlineStr">
        <is>
          <t>oui</t>
        </is>
      </c>
      <c r="F43" s="5" t="inlineStr">
        <is>
          <t>Taux standardisé de décès par suicide (lésions auto-infligées), France, indicateur national ODD 3.i3 (données du CépiDc de l'Inserm).</t>
        </is>
      </c>
      <c r="G43" s="5" t="inlineStr">
        <is>
          <t>bas</t>
        </is>
      </c>
      <c r="H43" s="5" t="inlineStr">
        <is>
          <t>décès pour 100 000 habitants (taux standardisé)</t>
        </is>
      </c>
      <c r="I43" s="5" t="inlineStr">
        <is>
          <t>INSEE (d'après l'Inserm-CépiDc) — Indicateurs ODD nationaux (BDM)</t>
        </is>
      </c>
      <c r="J43" s="5" t="inlineStr">
        <is>
          <t>010599567</t>
        </is>
      </c>
      <c r="K43" s="5" t="inlineStr">
        <is>
          <t>2011-2023 (13 points, annuelle)</t>
        </is>
      </c>
      <c r="L43" s="5" t="inlineStr">
        <is>
          <t>resultat</t>
        </is>
      </c>
      <c r="M43" s="5" t="inlineStr">
        <is>
          <t>non</t>
        </is>
      </c>
      <c r="N43" s="5" t="inlineStr">
        <is>
          <t>non</t>
        </is>
      </c>
      <c r="O43" s="5" t="inlineStr">
        <is>
          <t>non</t>
        </is>
      </c>
      <c r="P43" s="5" t="inlineStr">
        <is>
          <t>non</t>
        </is>
      </c>
      <c r="Q43" s="5" t="inlineStr">
        <is>
          <t>retenir</t>
        </is>
      </c>
      <c r="R43" s="5" t="inlineStr">
        <is>
          <t>Indicateur national ODD 3.i3 et mesure de santé mentale du cadre SSF, annuel de 2011 à 2023 (16,9 pour 100 000 en 2011, 13,0 en 2023).</t>
        </is>
      </c>
      <c r="S43" s="5" t="inlineStr">
        <is>
          <t>retenu</t>
        </is>
      </c>
      <c r="T43" s="7" t="inlineStr"/>
      <c r="U43" s="7" t="inlineStr"/>
    </row>
    <row r="44" ht="60" customHeight="1">
      <c r="A44" s="5" t="inlineStr">
        <is>
          <t>santé mentale</t>
        </is>
      </c>
      <c r="B44" s="5" t="inlineStr">
        <is>
          <t>suicide</t>
        </is>
      </c>
      <c r="C44" s="5" t="inlineStr">
        <is>
          <t>morts_desespoir</t>
        </is>
      </c>
      <c r="D44" s="5" t="inlineStr">
        <is>
          <t>Décès par suicide, alcool ou drogue (« morts de désespoir »)</t>
        </is>
      </c>
      <c r="E44" s="5" t="inlineStr">
        <is>
          <t>non</t>
        </is>
      </c>
      <c r="F44" s="5" t="inlineStr">
        <is>
          <t>Taux de mortalité par suicide, maladies liées à l'alcool et surdoses de drogues, pour 100 000 habitants (OCDE, How's Life, mesure 5_3).</t>
        </is>
      </c>
      <c r="G44" s="5" t="inlineStr">
        <is>
          <t>bas</t>
        </is>
      </c>
      <c r="H44" s="5" t="inlineStr">
        <is>
          <t>décès pour 100 000 habitants</t>
        </is>
      </c>
      <c r="I44" s="5" t="inlineStr">
        <is>
          <t>OCDE — How's Life? Well-being Database (bien-être actuel), mesure 5_3</t>
        </is>
      </c>
      <c r="J44" s="5" t="inlineStr">
        <is>
          <t>OECD.WISE.WDP,DSD_HSL@DF_HSL_CWB,1.1 MEASURE=5_3 UNIT_MEASURE=DT_10P5HB</t>
        </is>
      </c>
      <c r="K44" s="5" t="inlineStr">
        <is>
          <t>2004-2023 (20 points, annuelle)</t>
        </is>
      </c>
      <c r="L44" s="5" t="inlineStr">
        <is>
          <t>resultat</t>
        </is>
      </c>
      <c r="M44" s="5" t="inlineStr">
        <is>
          <t>non</t>
        </is>
      </c>
      <c r="N44" s="5" t="inlineStr">
        <is>
          <t>non</t>
        </is>
      </c>
      <c r="O44" s="5" t="inlineStr">
        <is>
          <t>non</t>
        </is>
      </c>
      <c r="P44" s="5" t="inlineStr">
        <is>
          <t>non</t>
        </is>
      </c>
      <c r="Q44" s="5" t="inlineStr">
        <is>
          <t>retenir_variante</t>
        </is>
      </c>
      <c r="R44" s="5" t="inlineStr">
        <is>
          <t>Mesure du cadre OCDE How's Life, annuelle de 2004 à 2023 (18,7 pour 100 000 en 2023), qui élargit le suicide aux décès liés à l'alcool et aux drogues.</t>
        </is>
      </c>
      <c r="S44" s="5" t="inlineStr">
        <is>
          <t>retenu</t>
        </is>
      </c>
      <c r="T44" s="7" t="inlineStr"/>
      <c r="U44" s="7" t="inlineStr"/>
    </row>
    <row r="45" ht="60" customHeight="1">
      <c r="A45" s="5" t="inlineStr">
        <is>
          <t>santé perçue et limitations</t>
        </is>
      </c>
      <c r="B45" s="5" t="inlineStr">
        <is>
          <t>douleur_physique</t>
        </is>
      </c>
      <c r="C45" s="6" t="inlineStr">
        <is>
          <t>douleur_physique</t>
        </is>
      </c>
      <c r="D45" s="5" t="inlineStr">
        <is>
          <t>Personnes ayant ressenti une douleur physique la veille</t>
        </is>
      </c>
      <c r="E45" s="5" t="inlineStr">
        <is>
          <t>oui</t>
        </is>
      </c>
      <c r="F45" s="5" t="inlineStr">
        <is>
          <t>Part des personnes de 15 ans ou plus déclarant avoir ressenti beaucoup de douleur physique la veille de l'entretien (Gallup World Poll, moyennes pluriannuelles diffusées par l'OCDE, mesure 11_3).</t>
        </is>
      </c>
      <c r="G45" s="5" t="inlineStr">
        <is>
          <t>bas</t>
        </is>
      </c>
      <c r="H45" s="5" t="inlineStr">
        <is>
          <t>% des 15 ans ou plus</t>
        </is>
      </c>
      <c r="I45" s="5" t="inlineStr">
        <is>
          <t>OCDE (d'après Gallup) — How's Life? Well-being Database (bien-être actuel), mesure 11_3</t>
        </is>
      </c>
      <c r="J45" s="5" t="inlineStr">
        <is>
          <t>OECD.WISE.WDP,DSD_HSL@DF_HSL_CWB,1.1 MEASURE=11_3 UNIT_MEASURE=PT_POP_Y_GE15</t>
        </is>
      </c>
      <c r="K45" s="5" t="inlineStr">
        <is>
          <t>2006-2025 (7 points, irreguliere)</t>
        </is>
      </c>
      <c r="L45" s="5" t="inlineStr">
        <is>
          <t>resultat</t>
        </is>
      </c>
      <c r="M45" s="5" t="inlineStr">
        <is>
          <t>oui</t>
        </is>
      </c>
      <c r="N45" s="5" t="inlineStr">
        <is>
          <t>non</t>
        </is>
      </c>
      <c r="O45" s="5" t="inlineStr">
        <is>
          <t>non</t>
        </is>
      </c>
      <c r="P45" s="5" t="inlineStr">
        <is>
          <t>non</t>
        </is>
      </c>
      <c r="Q45" s="5" t="inlineStr">
        <is>
          <t>retenir</t>
        </is>
      </c>
      <c r="R45" s="5" t="inlineStr">
        <is>
          <t>Seule mesure de la douleur ressentie au catalogue, 7 valeurs de 2006 à 2025 (32,96 % pour 2023-2025) admises comme série irrégulière (D17).</t>
        </is>
      </c>
      <c r="S45" s="5" t="inlineStr">
        <is>
          <t>retenu</t>
        </is>
      </c>
      <c r="T45" s="7" t="inlineStr"/>
      <c r="U45" s="7" t="inlineStr"/>
    </row>
    <row r="46" ht="60" customHeight="1">
      <c r="A46" s="5" t="inlineStr">
        <is>
          <t>santé perçue et limitations</t>
        </is>
      </c>
      <c r="B46" s="5" t="inlineStr">
        <is>
          <t>limitations_activite</t>
        </is>
      </c>
      <c r="C46" s="6" t="inlineStr">
        <is>
          <t>limitations_activite</t>
        </is>
      </c>
      <c r="D46" s="5" t="inlineStr">
        <is>
          <t>Personnes limitées dans leurs activités par un problème de santé</t>
        </is>
      </c>
      <c r="E46" s="5" t="inlineStr">
        <is>
          <t>oui</t>
        </is>
      </c>
      <c r="F46" s="5" t="inlineStr">
        <is>
          <t>Part des personnes de 16 ans ou plus limitées (fortement ou un peu) depuis au moins six mois, à cause d'un problème de santé, dans les activités que les gens font habituellement (indicateur GALI, enquête SRCV).</t>
        </is>
      </c>
      <c r="G46" s="5" t="inlineStr">
        <is>
          <t>bas</t>
        </is>
      </c>
      <c r="H46" s="5" t="inlineStr">
        <is>
          <t>% des 16 ans ou plus</t>
        </is>
      </c>
      <c r="I46" s="5" t="inlineStr">
        <is>
          <t>Eurostat (d'après l'INSEE, enquête SRCV) — hlth_silc_06 (limitation de longue durée perçue dans les activités usuelles), population totale, modalité « quelque ou grave »</t>
        </is>
      </c>
      <c r="J46" s="5" t="inlineStr">
        <is>
          <t>hlth_silc_06?freq=A&amp;unit=PC&amp;wstatus=POP&amp;age=Y_GE16&amp;sex=T&amp;lev_limit=SM_SEV&amp;geo=FR</t>
        </is>
      </c>
      <c r="K46" s="5" t="inlineStr">
        <is>
          <t>2008-2025 (18 points, annuelle)</t>
        </is>
      </c>
      <c r="L46" s="5" t="inlineStr">
        <is>
          <t>resultat</t>
        </is>
      </c>
      <c r="M46" s="5" t="inlineStr">
        <is>
          <t>oui</t>
        </is>
      </c>
      <c r="N46" s="5" t="inlineStr">
        <is>
          <t>non</t>
        </is>
      </c>
      <c r="O46" s="5" t="inlineStr">
        <is>
          <t>oui</t>
        </is>
      </c>
      <c r="P46" s="5" t="inlineStr">
        <is>
          <t>oui</t>
        </is>
      </c>
      <c r="Q46" s="5" t="inlineStr">
        <is>
          <t>retenir</t>
        </is>
      </c>
      <c r="R46" s="5" t="inlineStr">
        <is>
          <t>Concept « limitations » du §5 du crosswalk et base de l'espérance de vie sans incapacité, annuel de 2008 à 2025 (23,2 % en 2008, 25,8 % en 2025).</t>
        </is>
      </c>
      <c r="S46" s="5" t="inlineStr">
        <is>
          <t>retenu_socle</t>
        </is>
      </c>
      <c r="T46" s="7" t="inlineStr"/>
      <c r="U46" s="7" t="inlineStr"/>
    </row>
    <row r="47" ht="60" customHeight="1">
      <c r="A47" s="5" t="inlineStr">
        <is>
          <t>santé perçue et limitations</t>
        </is>
      </c>
      <c r="B47" s="5" t="inlineStr">
        <is>
          <t>limitations_activite</t>
        </is>
      </c>
      <c r="C47" s="5" t="inlineStr">
        <is>
          <t>limitations_activite_fortes</t>
        </is>
      </c>
      <c r="D47" s="5" t="inlineStr">
        <is>
          <t>Personnes fortement limitées dans leurs activités par un problème de santé</t>
        </is>
      </c>
      <c r="E47" s="5" t="inlineStr">
        <is>
          <t>non</t>
        </is>
      </c>
      <c r="F47" s="5" t="inlineStr">
        <is>
          <t>Part des personnes de 16 ans ou plus fortement limitées, depuis au moins six mois et à cause d'un problème de santé, dans les activités que les gens font habituellement (modalité « grave » de l'indicateur GALI, enquête …</t>
        </is>
      </c>
      <c r="G47" s="5" t="inlineStr">
        <is>
          <t>bas</t>
        </is>
      </c>
      <c r="H47" s="5" t="inlineStr">
        <is>
          <t>% des 16 ans ou plus</t>
        </is>
      </c>
      <c r="I47" s="5" t="inlineStr">
        <is>
          <t>Eurostat (d'après l'INSEE, enquête SRCV) — hlth_silc_06 (limitation de longue durée perçue dans les activités usuelles), population totale, modalité « grave »</t>
        </is>
      </c>
      <c r="J47" s="5" t="inlineStr">
        <is>
          <t>hlth_silc_06?freq=A&amp;unit=PC&amp;wstatus=POP&amp;age=Y_GE16&amp;sex=T&amp;lev_limit=SEV&amp;geo=FR</t>
        </is>
      </c>
      <c r="K47" s="5" t="inlineStr">
        <is>
          <t>2008-2025 (18 points, annuelle)</t>
        </is>
      </c>
      <c r="L47" s="5" t="inlineStr">
        <is>
          <t>resultat</t>
        </is>
      </c>
      <c r="M47" s="5" t="inlineStr">
        <is>
          <t>oui</t>
        </is>
      </c>
      <c r="N47" s="5" t="inlineStr">
        <is>
          <t>non</t>
        </is>
      </c>
      <c r="O47" s="5" t="inlineStr">
        <is>
          <t>non</t>
        </is>
      </c>
      <c r="P47" s="5" t="inlineStr">
        <is>
          <t>non</t>
        </is>
      </c>
      <c r="Q47" s="5" t="inlineStr">
        <is>
          <t>retenir_variante</t>
        </is>
      </c>
      <c r="R47" s="5" t="inlineStr">
        <is>
          <t>Approche statistique du handicap (limitation grave), annuelle de 2008 à 2025 (8,6 % en 2008, 10,2 % en 2023, 9,8 % en 2025), que la fiche principale additionne aux limitations légères.</t>
        </is>
      </c>
      <c r="S47" s="5" t="inlineStr">
        <is>
          <t>retenu</t>
        </is>
      </c>
      <c r="T47" s="7" t="inlineStr"/>
      <c r="U47" s="7" t="inlineStr"/>
    </row>
    <row r="48" ht="60" customHeight="1">
      <c r="A48" s="5" t="inlineStr">
        <is>
          <t>santé perçue et limitations</t>
        </is>
      </c>
      <c r="B48" s="5" t="inlineStr">
        <is>
          <t>maladie_chronique</t>
        </is>
      </c>
      <c r="C48" s="6" t="inlineStr">
        <is>
          <t>maladie_chronique</t>
        </is>
      </c>
      <c r="D48" s="5" t="inlineStr">
        <is>
          <t>Personnes ayant une maladie ou un problème de santé chronique</t>
        </is>
      </c>
      <c r="E48" s="5" t="inlineStr">
        <is>
          <t>oui</t>
        </is>
      </c>
      <c r="F48" s="5" t="inlineStr">
        <is>
          <t>Part des personnes de 16 ans ou plus déclarant une maladie ou un problème de santé chronique ou de caractère durable (enquête SRCV, volet français d'EU-SILC).</t>
        </is>
      </c>
      <c r="G48" s="5" t="inlineStr">
        <is>
          <t>bas</t>
        </is>
      </c>
      <c r="H48" s="5" t="inlineStr">
        <is>
          <t>% des 16 ans ou plus</t>
        </is>
      </c>
      <c r="I48" s="5" t="inlineStr">
        <is>
          <t>Eurostat (d'après l'INSEE, enquête SRCV) — hlth_silc_04 (problème de santé de longue durée par statut d'activité), population totale</t>
        </is>
      </c>
      <c r="J48" s="5" t="inlineStr">
        <is>
          <t>hlth_silc_04?freq=A&amp;unit=PC&amp;wstatus=POP&amp;age=Y_GE16&amp;sex=T&amp;geo=FR</t>
        </is>
      </c>
      <c r="K48" s="5" t="inlineStr">
        <is>
          <t>2008-2025 (18 points, annuelle)</t>
        </is>
      </c>
      <c r="L48" s="5" t="inlineStr">
        <is>
          <t>resultat</t>
        </is>
      </c>
      <c r="M48" s="5" t="inlineStr">
        <is>
          <t>non</t>
        </is>
      </c>
      <c r="N48" s="5" t="inlineStr">
        <is>
          <t>non</t>
        </is>
      </c>
      <c r="O48" s="5" t="inlineStr">
        <is>
          <t>oui</t>
        </is>
      </c>
      <c r="P48" s="5" t="inlineStr">
        <is>
          <t>oui</t>
        </is>
      </c>
      <c r="Q48" s="5" t="inlineStr">
        <is>
          <t>retenir</t>
        </is>
      </c>
      <c r="R48" s="5" t="inlineStr">
        <is>
          <t>Concept « morbidité » du §5 du crosswalk (cadres SSF, OCDE, Eurostat), annuel de 2008 à 2025 (36,7 % en 2008, 41,7 % en 2025).</t>
        </is>
      </c>
      <c r="S48" s="5" t="inlineStr">
        <is>
          <t>retenu_socle</t>
        </is>
      </c>
      <c r="T48" s="7" t="inlineStr"/>
      <c r="U48" s="7" t="inlineStr"/>
    </row>
    <row r="49" ht="60" customHeight="1">
      <c r="A49" s="5" t="inlineStr">
        <is>
          <t>santé perçue et limitations</t>
        </is>
      </c>
      <c r="B49" s="5" t="inlineStr">
        <is>
          <t>prevalence_diabete</t>
        </is>
      </c>
      <c r="C49" s="6" t="inlineStr">
        <is>
          <t>prevalence_diabete</t>
        </is>
      </c>
      <c r="D49" s="5" t="inlineStr">
        <is>
          <t>Prévalence du diabète traité</t>
        </is>
      </c>
      <c r="E49" s="5" t="inlineStr">
        <is>
          <t>oui</t>
        </is>
      </c>
      <c r="F49" s="5" t="inlineStr">
        <is>
          <t>Part de la population traitée pharmacologiquement pour un diabète, tous régimes d'Assurance maladie confondus, en taux standardisé sur l'âge, ensemble des sexes, France (Santé publique France).</t>
        </is>
      </c>
      <c r="G49" s="5" t="inlineStr">
        <is>
          <t>bas</t>
        </is>
      </c>
      <c r="H49" s="5" t="inlineStr">
        <is>
          <t>% de la population (taux standardisé)</t>
        </is>
      </c>
      <c r="I49" s="5" t="inlineStr">
        <is>
          <t>Santé publique France — Odissé, jeu diabete-prevalence-france (diabete_tx_std, Hommes et Femmes)</t>
        </is>
      </c>
      <c r="J49" s="5" t="inlineStr">
        <is>
          <t>https://odisse.santepubliquefrance.fr/api/explore/v2.1/catalog/datasets/diabete-prevalence-france (diabete_tx_std)</t>
        </is>
      </c>
      <c r="K49" s="5" t="inlineStr">
        <is>
          <t>2010-2023 (14 points, annuelle)</t>
        </is>
      </c>
      <c r="L49" s="5" t="inlineStr">
        <is>
          <t>resultat</t>
        </is>
      </c>
      <c r="M49" s="5" t="inlineStr">
        <is>
          <t>non</t>
        </is>
      </c>
      <c r="N49" s="5" t="inlineStr">
        <is>
          <t>non</t>
        </is>
      </c>
      <c r="O49" s="5" t="inlineStr">
        <is>
          <t>non</t>
        </is>
      </c>
      <c r="P49" s="5" t="inlineStr">
        <is>
          <t>non</t>
        </is>
      </c>
      <c r="Q49" s="5" t="inlineStr">
        <is>
          <t>retenir</t>
        </is>
      </c>
      <c r="R49" s="5" t="inlineStr">
        <is>
          <t>Seule mesure annuelle de la fréquence d'une maladie chronique majeure, 14 années de 2010 à 2023 (4,69 % en 2010, 5,24 % en 2023 en taux standardisé), retenue avec un sens bas malgré l'effet du dépistage (D43).</t>
        </is>
      </c>
      <c r="S49" s="5" t="inlineStr">
        <is>
          <t>retenu</t>
        </is>
      </c>
      <c r="T49" s="7" t="inlineStr"/>
      <c r="U49" s="7" t="inlineStr"/>
    </row>
    <row r="50" ht="60" customHeight="1">
      <c r="A50" s="5" t="inlineStr">
        <is>
          <t>santé perçue et limitations</t>
        </is>
      </c>
      <c r="B50" s="5" t="inlineStr">
        <is>
          <t>sante_percue</t>
        </is>
      </c>
      <c r="C50" s="6" t="inlineStr">
        <is>
          <t>sante_percue_bonne</t>
        </is>
      </c>
      <c r="D50" s="5" t="inlineStr">
        <is>
          <t>Personnes se déclarant en bonne ou très bonne santé</t>
        </is>
      </c>
      <c r="E50" s="5" t="inlineStr">
        <is>
          <t>oui</t>
        </is>
      </c>
      <c r="F50" s="5" t="inlineStr">
        <is>
          <t>Part des personnes de 16 ans ou plus vivant en logement ordinaire qui jugent leur état de santé général « bon » ou « très bon » (enquête SRCV, volet français d'EU-SILC).</t>
        </is>
      </c>
      <c r="G50" s="5" t="inlineStr">
        <is>
          <t>haut</t>
        </is>
      </c>
      <c r="H50" s="5" t="inlineStr">
        <is>
          <t>% des 16 ans ou plus</t>
        </is>
      </c>
      <c r="I50" s="5" t="inlineStr">
        <is>
          <t>Eurostat (d'après l'INSEE, enquête SRCV) — sdg_03_20 (part de la population se percevant en bonne ou très bonne santé)</t>
        </is>
      </c>
      <c r="J50" s="5" t="inlineStr">
        <is>
          <t>sdg_03_20?freq=A&amp;unit=PC&amp;quant_inc=TOTAL&amp;age=Y_GE16&amp;sex=T&amp;levels=VG_G&amp;geo=FR</t>
        </is>
      </c>
      <c r="K50" s="5" t="inlineStr">
        <is>
          <t>2005-2025 (21 points, annuelle)</t>
        </is>
      </c>
      <c r="L50" s="5" t="inlineStr">
        <is>
          <t>resultat</t>
        </is>
      </c>
      <c r="M50" s="5" t="inlineStr">
        <is>
          <t>oui</t>
        </is>
      </c>
      <c r="N50" s="5" t="inlineStr">
        <is>
          <t>non</t>
        </is>
      </c>
      <c r="O50" s="5" t="inlineStr">
        <is>
          <t>oui</t>
        </is>
      </c>
      <c r="P50" s="5" t="inlineStr">
        <is>
          <t>oui</t>
        </is>
      </c>
      <c r="Q50" s="5" t="inlineStr">
        <is>
          <t>retenir</t>
        </is>
      </c>
      <c r="R50" s="5" t="inlineStr">
        <is>
          <t>Indicateur phare du cadre Qualité de vie d'Eurostat et de l'OCDE (§5 du crosswalk), annuel de 2005 à 2025 (68,8 % en 2005, 64,7 % en 2025) ; l'INSEE ne publie pas ce niveau.</t>
        </is>
      </c>
      <c r="S50" s="5" t="inlineStr">
        <is>
          <t>retenu_socle</t>
        </is>
      </c>
      <c r="T50" s="7" t="inlineStr"/>
      <c r="U50" s="7" t="inlineStr"/>
    </row>
    <row r="51" ht="60" customHeight="1">
      <c r="A51" s="5" t="inlineStr">
        <is>
          <t>santé perçue et limitations</t>
        </is>
      </c>
      <c r="B51" s="5" t="inlineStr">
        <is>
          <t>sante_percue</t>
        </is>
      </c>
      <c r="C51" s="5" t="inlineStr">
        <is>
          <t>sante_percue_mauvaise</t>
        </is>
      </c>
      <c r="D51" s="5" t="inlineStr">
        <is>
          <t>Personnes se déclarant en mauvaise ou très mauvaise santé</t>
        </is>
      </c>
      <c r="E51" s="5" t="inlineStr">
        <is>
          <t>non</t>
        </is>
      </c>
      <c r="F51" s="5" t="inlineStr">
        <is>
          <t>Part des personnes de 16 ans ou plus vivant en logement ordinaire qui jugent leur état de santé général « mauvais » ou « très mauvais » (enquête SRCV, volet français d'EU-SILC).</t>
        </is>
      </c>
      <c r="G51" s="5" t="inlineStr">
        <is>
          <t>bas</t>
        </is>
      </c>
      <c r="H51" s="5" t="inlineStr">
        <is>
          <t>% des 16 ans ou plus</t>
        </is>
      </c>
      <c r="I51" s="5" t="inlineStr">
        <is>
          <t>Eurostat (d'après l'INSEE, enquête SRCV) — hlth_silc_10 (santé perçue par sexe, âge et quintile de revenu), ensemble des quintiles</t>
        </is>
      </c>
      <c r="J51" s="5" t="inlineStr">
        <is>
          <t>hlth_silc_10?freq=A&amp;unit=PC&amp;quant_inc=TOTAL&amp;age=Y_GE16&amp;sex=T&amp;levels=B_VB&amp;geo=FR</t>
        </is>
      </c>
      <c r="K51" s="5" t="inlineStr">
        <is>
          <t>2005-2025 (21 points, annuelle)</t>
        </is>
      </c>
      <c r="L51" s="5" t="inlineStr">
        <is>
          <t>resultat</t>
        </is>
      </c>
      <c r="M51" s="5" t="inlineStr">
        <is>
          <t>oui</t>
        </is>
      </c>
      <c r="N51" s="5" t="inlineStr">
        <is>
          <t>non</t>
        </is>
      </c>
      <c r="O51" s="5" t="inlineStr">
        <is>
          <t>non</t>
        </is>
      </c>
      <c r="P51" s="5" t="inlineStr">
        <is>
          <t>non</t>
        </is>
      </c>
      <c r="Q51" s="5" t="inlineStr">
        <is>
          <t>retenir_variante</t>
        </is>
      </c>
      <c r="R51" s="5" t="inlineStr">
        <is>
          <t>Autre lecture de la même question que la part en bonne santé, centrée sur les états de santé dégradés, annuelle de 2005 à 2025 (9,9 % en 2005, 7,7 % en 2015, 10,8 % en 2023, 10,2 % en 2025).</t>
        </is>
      </c>
      <c r="S51" s="5" t="inlineStr">
        <is>
          <t>retenu</t>
        </is>
      </c>
      <c r="T51" s="7" t="inlineStr"/>
      <c r="U51" s="7" t="inlineStr"/>
    </row>
  </sheetData>
  <autoFilter ref="A1:U51"/>
  <conditionalFormatting sqref="A2:U51">
    <cfRule type="expression" priority="1" dxfId="0">
      <formula>$T2&lt;&gt;""</formula>
    </cfRule>
  </conditionalFormatting>
  <dataValidations count="1">
    <dataValidation sqref="T2:T51" showDropDown="0" showInputMessage="0" showErrorMessage="1" allowBlank="1" errorTitle="Valeur non admise" error="Choisissez une valeur dans la liste : retenu, retenu_socle, ecarte, a_discuter" type="list">
      <formula1>"retenu,retenu_socle,ecarte,a_discuter"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40" customWidth="1" min="1" max="1"/>
    <col width="18" customWidth="1" min="2" max="2"/>
    <col width="22" customWidth="1" min="3" max="3"/>
    <col width="30" customWidth="1" min="4" max="4"/>
  </cols>
  <sheetData>
    <row r="1">
      <c r="A1" s="8" t="inlineStr">
        <is>
          <t>Dimension</t>
        </is>
      </c>
      <c r="B1" s="9" t="inlineStr">
        <is>
          <t>Santé</t>
        </is>
      </c>
    </row>
    <row r="2">
      <c r="A2" s="8" t="inlineStr">
        <is>
          <t>Indicateurs candidats (fiches)</t>
        </is>
      </c>
      <c r="B2" s="9">
        <f>COUNTA(Validation!$C$2:$C$51)</f>
        <v/>
      </c>
    </row>
    <row r="3">
      <c r="A3" s="8" t="inlineStr">
        <is>
          <t>Familles distinctes</t>
        </is>
      </c>
      <c r="B3" s="9">
        <f>SUMPRODUCT((Validation!$B$2:$B$51&lt;&gt;"")/COUNTIF(Validation!$B$2:$B$51,Validation!$B$2:$B$51&amp;""))</f>
        <v/>
      </c>
    </row>
    <row r="4">
      <c r="A4" s="9" t="inlineStr"/>
      <c r="B4" s="9" t="inlineStr"/>
    </row>
    <row r="5">
      <c r="A5" s="8" t="inlineStr">
        <is>
          <t>Recommandations de l'agent</t>
        </is>
      </c>
      <c r="B5" s="9" t="inlineStr"/>
    </row>
    <row r="6">
      <c r="A6" s="9" t="inlineStr">
        <is>
          <t xml:space="preserve">  retenir</t>
        </is>
      </c>
      <c r="B6" s="9">
        <f>COUNTIF(Validation!$Q$2:$Q$51,"retenir")</f>
        <v/>
      </c>
    </row>
    <row r="7">
      <c r="A7" s="9" t="inlineStr">
        <is>
          <t xml:space="preserve">  retenir_variante</t>
        </is>
      </c>
      <c r="B7" s="9">
        <f>COUNTIF(Validation!$Q$2:$Q$51,"retenir_variante")</f>
        <v/>
      </c>
    </row>
    <row r="8">
      <c r="A8" s="9" t="inlineStr">
        <is>
          <t xml:space="preserve">  ecarter</t>
        </is>
      </c>
      <c r="B8" s="9">
        <f>COUNTIF(Validation!$Q$2:$Q$51,"ecarter")</f>
        <v/>
      </c>
    </row>
    <row r="9">
      <c r="A9" s="9" t="inlineStr"/>
      <c r="B9" s="9" t="inlineStr"/>
    </row>
    <row r="10">
      <c r="A10" s="8" t="inlineStr">
        <is>
          <t>Socle proposé par l'agent (D41)</t>
        </is>
      </c>
      <c r="B10" s="9">
        <f>COUNTIF(Validation!$P$2:$P$51,"oui")</f>
        <v/>
      </c>
    </row>
    <row r="11">
      <c r="A11" s="9" t="inlineStr"/>
      <c r="B11" s="9" t="inlineStr"/>
    </row>
    <row r="12">
      <c r="A12" s="8" t="inlineStr">
        <is>
          <t>Décisions par défaut</t>
        </is>
      </c>
      <c r="B12" s="9" t="inlineStr"/>
    </row>
    <row r="13">
      <c r="A13" s="9" t="inlineStr">
        <is>
          <t xml:space="preserve">  retenu_socle</t>
        </is>
      </c>
      <c r="B13" s="9">
        <f>COUNTIF(Validation!$S$2:$S$51,"retenu_socle")</f>
        <v/>
      </c>
    </row>
    <row r="14">
      <c r="A14" s="9" t="inlineStr">
        <is>
          <t xml:space="preserve">  retenu</t>
        </is>
      </c>
      <c r="B14" s="9">
        <f>COUNTIF(Validation!$S$2:$S$51,"retenu")</f>
        <v/>
      </c>
    </row>
    <row r="15">
      <c r="A15" s="9" t="inlineStr">
        <is>
          <t xml:space="preserve">  ecarte</t>
        </is>
      </c>
      <c r="B15" s="9">
        <f>COUNTIF(Validation!$S$2:$S$51,"ecarte")</f>
        <v/>
      </c>
    </row>
    <row r="16">
      <c r="A16" s="9" t="inlineStr">
        <is>
          <t xml:space="preserve">  a_discuter</t>
        </is>
      </c>
      <c r="B16" s="9">
        <f>COUNTIF(Validation!$S$2:$S$51,"a_discuter")</f>
        <v/>
      </c>
    </row>
    <row r="17">
      <c r="A17" s="9" t="inlineStr"/>
      <c r="B17" s="9" t="inlineStr"/>
    </row>
    <row r="18">
      <c r="A18" s="8" t="inlineStr">
        <is>
          <t>Vos décisions saisies (exceptions)</t>
        </is>
      </c>
      <c r="B18" s="9">
        <f>COUNTA(Validation!$T$2:$T$51)</f>
        <v/>
      </c>
    </row>
    <row r="19">
      <c r="A19" s="9" t="inlineStr">
        <is>
          <t xml:space="preserve">  dont retenu_socle</t>
        </is>
      </c>
      <c r="B19" s="9">
        <f>COUNTIF(Validation!$T$2:$T$51,"retenu_socle")</f>
        <v/>
      </c>
    </row>
    <row r="20">
      <c r="A20" s="9" t="inlineStr">
        <is>
          <t xml:space="preserve">  dont retenu</t>
        </is>
      </c>
      <c r="B20" s="9">
        <f>COUNTIF(Validation!$T$2:$T$51,"retenu")</f>
        <v/>
      </c>
    </row>
    <row r="21">
      <c r="A21" s="9" t="inlineStr">
        <is>
          <t xml:space="preserve">  dont ecarte</t>
        </is>
      </c>
      <c r="B21" s="9">
        <f>COUNTIF(Validation!$T$2:$T$51,"ecarte")</f>
        <v/>
      </c>
    </row>
    <row r="22">
      <c r="A22" s="9" t="inlineStr">
        <is>
          <t xml:space="preserve">  dont a_discuter</t>
        </is>
      </c>
      <c r="B22" s="9">
        <f>COUNTIF(Validation!$T$2:$T$51,"a_discuter")</f>
        <v/>
      </c>
    </row>
    <row r="24">
      <c r="A24" s="8" t="inlineStr">
        <is>
          <t>Socle par sous-thème (D41)</t>
        </is>
      </c>
      <c r="B24" s="8" t="inlineStr">
        <is>
          <t>Fiches</t>
        </is>
      </c>
      <c r="C24" s="8" t="inlineStr">
        <is>
          <t>retenu_socle par défaut</t>
        </is>
      </c>
      <c r="D24" s="8" t="inlineStr">
        <is>
          <t>retenu_socle après vos décisions</t>
        </is>
      </c>
    </row>
    <row r="25">
      <c r="A25" s="9" t="inlineStr">
        <is>
          <t>accès aux soins</t>
        </is>
      </c>
      <c r="B25" s="9">
        <f>COUNTIF(Validation!$A$2:$A$51,$A25)</f>
        <v/>
      </c>
      <c r="C25" s="9">
        <f>COUNTIFS(Validation!$A$2:$A$51,$A25,Validation!$S$2:$S$51,"retenu_socle")</f>
        <v/>
      </c>
      <c r="D25" s="9">
        <f>SUMPRODUCT((Validation!$A$2:$A$51=$A25)*(((Validation!$T$2:$T$51="")*(Validation!$S$2:$S$51="retenu_socle"))+(Validation!$T$2:$T$51="retenu_socle")))</f>
        <v/>
      </c>
    </row>
    <row r="26">
      <c r="A26" s="9" t="inlineStr">
        <is>
          <t>causes de décès</t>
        </is>
      </c>
      <c r="B26" s="9">
        <f>COUNTIF(Validation!$A$2:$A$51,$A26)</f>
        <v/>
      </c>
      <c r="C26" s="9">
        <f>COUNTIFS(Validation!$A$2:$A$51,$A26,Validation!$S$2:$S$51,"retenu_socle")</f>
        <v/>
      </c>
      <c r="D26" s="9">
        <f>SUMPRODUCT((Validation!$A$2:$A$51=$A26)*(((Validation!$T$2:$T$51="")*(Validation!$S$2:$S$51="retenu_socle"))+(Validation!$T$2:$T$51="retenu_socle")))</f>
        <v/>
      </c>
    </row>
    <row r="27">
      <c r="A27" s="9" t="inlineStr">
        <is>
          <t>comportements et prévention</t>
        </is>
      </c>
      <c r="B27" s="9">
        <f>COUNTIF(Validation!$A$2:$A$51,$A27)</f>
        <v/>
      </c>
      <c r="C27" s="9">
        <f>COUNTIFS(Validation!$A$2:$A$51,$A27,Validation!$S$2:$S$51,"retenu_socle")</f>
        <v/>
      </c>
      <c r="D27" s="9">
        <f>SUMPRODUCT((Validation!$A$2:$A$51=$A27)*(((Validation!$T$2:$T$51="")*(Validation!$S$2:$S$51="retenu_socle"))+(Validation!$T$2:$T$51="retenu_socle")))</f>
        <v/>
      </c>
    </row>
    <row r="28">
      <c r="A28" s="9" t="inlineStr">
        <is>
          <t>espérance de vie</t>
        </is>
      </c>
      <c r="B28" s="9">
        <f>COUNTIF(Validation!$A$2:$A$51,$A28)</f>
        <v/>
      </c>
      <c r="C28" s="9">
        <f>COUNTIFS(Validation!$A$2:$A$51,$A28,Validation!$S$2:$S$51,"retenu_socle")</f>
        <v/>
      </c>
      <c r="D28" s="9">
        <f>SUMPRODUCT((Validation!$A$2:$A$51=$A28)*(((Validation!$T$2:$T$51="")*(Validation!$S$2:$S$51="retenu_socle"))+(Validation!$T$2:$T$51="retenu_socle")))</f>
        <v/>
      </c>
    </row>
    <row r="29">
      <c r="A29" s="9" t="inlineStr">
        <is>
          <t>maladies infectieuses</t>
        </is>
      </c>
      <c r="B29" s="9">
        <f>COUNTIF(Validation!$A$2:$A$51,$A29)</f>
        <v/>
      </c>
      <c r="C29" s="9">
        <f>COUNTIFS(Validation!$A$2:$A$51,$A29,Validation!$S$2:$S$51,"retenu_socle")</f>
        <v/>
      </c>
      <c r="D29" s="9">
        <f>SUMPRODUCT((Validation!$A$2:$A$51=$A29)*(((Validation!$T$2:$T$51="")*(Validation!$S$2:$S$51="retenu_socle"))+(Validation!$T$2:$T$51="retenu_socle")))</f>
        <v/>
      </c>
    </row>
    <row r="30">
      <c r="A30" s="9" t="inlineStr">
        <is>
          <t>mortalité</t>
        </is>
      </c>
      <c r="B30" s="9">
        <f>COUNTIF(Validation!$A$2:$A$51,$A30)</f>
        <v/>
      </c>
      <c r="C30" s="9">
        <f>COUNTIFS(Validation!$A$2:$A$51,$A30,Validation!$S$2:$S$51,"retenu_socle")</f>
        <v/>
      </c>
      <c r="D30" s="9">
        <f>SUMPRODUCT((Validation!$A$2:$A$51=$A30)*(((Validation!$T$2:$T$51="")*(Validation!$S$2:$S$51="retenu_socle"))+(Validation!$T$2:$T$51="retenu_socle")))</f>
        <v/>
      </c>
    </row>
    <row r="31">
      <c r="A31" s="9" t="inlineStr">
        <is>
          <t>perceptions</t>
        </is>
      </c>
      <c r="B31" s="9">
        <f>COUNTIF(Validation!$A$2:$A$51,$A31)</f>
        <v/>
      </c>
      <c r="C31" s="9">
        <f>COUNTIFS(Validation!$A$2:$A$51,$A31,Validation!$S$2:$S$51,"retenu_socle")</f>
        <v/>
      </c>
      <c r="D31" s="9">
        <f>SUMPRODUCT((Validation!$A$2:$A$51=$A31)*(((Validation!$T$2:$T$51="")*(Validation!$S$2:$S$51="retenu_socle"))+(Validation!$T$2:$T$51="retenu_socle")))</f>
        <v/>
      </c>
    </row>
    <row r="32">
      <c r="A32" s="9" t="inlineStr">
        <is>
          <t>périnatalité</t>
        </is>
      </c>
      <c r="B32" s="9">
        <f>COUNTIF(Validation!$A$2:$A$51,$A32)</f>
        <v/>
      </c>
      <c r="C32" s="9">
        <f>COUNTIFS(Validation!$A$2:$A$51,$A32,Validation!$S$2:$S$51,"retenu_socle")</f>
        <v/>
      </c>
      <c r="D32" s="9">
        <f>SUMPRODUCT((Validation!$A$2:$A$51=$A32)*(((Validation!$T$2:$T$51="")*(Validation!$S$2:$S$51="retenu_socle"))+(Validation!$T$2:$T$51="retenu_socle")))</f>
        <v/>
      </c>
    </row>
    <row r="33">
      <c r="A33" s="9" t="inlineStr">
        <is>
          <t>santé mentale</t>
        </is>
      </c>
      <c r="B33" s="9">
        <f>COUNTIF(Validation!$A$2:$A$51,$A33)</f>
        <v/>
      </c>
      <c r="C33" s="9">
        <f>COUNTIFS(Validation!$A$2:$A$51,$A33,Validation!$S$2:$S$51,"retenu_socle")</f>
        <v/>
      </c>
      <c r="D33" s="9">
        <f>SUMPRODUCT((Validation!$A$2:$A$51=$A33)*(((Validation!$T$2:$T$51="")*(Validation!$S$2:$S$51="retenu_socle"))+(Validation!$T$2:$T$51="retenu_socle")))</f>
        <v/>
      </c>
    </row>
    <row r="34">
      <c r="A34" s="9" t="inlineStr">
        <is>
          <t>santé perçue et limitations</t>
        </is>
      </c>
      <c r="B34" s="9">
        <f>COUNTIF(Validation!$A$2:$A$51,$A34)</f>
        <v/>
      </c>
      <c r="C34" s="9">
        <f>COUNTIFS(Validation!$A$2:$A$51,$A34,Validation!$S$2:$S$51,"retenu_socle")</f>
        <v/>
      </c>
      <c r="D34" s="9">
        <f>SUMPRODUCT((Validation!$A$2:$A$51=$A34)*(((Validation!$T$2:$T$51="")*(Validation!$S$2:$S$51="retenu_socle"))+(Validation!$T$2:$T$51="retenu_socle")))</f>
        <v/>
      </c>
    </row>
    <row r="35">
      <c r="A35" s="8" t="inlineStr">
        <is>
          <t>Total</t>
        </is>
      </c>
      <c r="B35" s="8">
        <f>SUM(B25:B34)</f>
        <v/>
      </c>
      <c r="C35" s="8">
        <f>SUM(C25:C34)</f>
        <v/>
      </c>
      <c r="D35" s="8">
        <f>SUM(D25:D34)</f>
        <v/>
      </c>
    </row>
    <row r="37">
      <c r="A37" s="10" t="inlineStr">
        <is>
          <t>Les comptes se recalculent à l'ouverture dans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2026-10-17T10:47:39Z</dcterms:created>
  <dcterms:modified xmlns:dcterms="http://purl.org/dc/terms/" xmlns:xsi="http://www.w3.org/2001/XMLSchema-instance" xsi:type="dcterms:W3CDTF">2026-10-17T10:47:39Z</dcterms:modified>
</cp:coreProperties>
</file>