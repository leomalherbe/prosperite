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Validation" sheetId="2" state="visible" r:id="rId4"/>
    <sheet name="Synthèse" sheetId="3" state="visible" r:id="rId5"/>
  </sheets>
  <definedNames>
    <definedName function="false" hidden="true" localSheetId="1" name="_xlnm._FilterDatabase" vbProcedure="false">Validation!$A$1:$S$23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À remplir seulement si vous divergez de la décision par défaut. Liste : retenu, retenu_socle, ecarte, a_discuter.</t>
        </r>
      </text>
    </comment>
  </commentList>
</comments>
</file>

<file path=xl/sharedStrings.xml><?xml version="1.0" encoding="utf-8"?>
<sst xmlns="http://schemas.openxmlformats.org/spreadsheetml/2006/main" count="430" uniqueCount="215">
  <si>
    <t xml:space="preserve">Gel 2 — validation des indicateurs de la dimension « Liens sociaux et bien-être ressenti »</t>
  </si>
  <si>
    <t xml:space="preserve">Comment remplir ce classeur (validation par exception, charte §3.6, décision D20)</t>
  </si>
  <si>
    <t xml:space="preserve">1. Ouvrez l'onglet « Validation ». Chaque ligne est un indicateur candidat (une fiche YAML dans le dépôt), regroupé par famille ; la variante principale de chaque famille est en tête.</t>
  </si>
  <si>
    <t xml:space="preserve">2. Les colonnes grises sont informatives. La colonne « Recommandation de l'agent » et son motif résument l'analyse ; la colonne « Décision par défaut » indique ce qui s'appliquera si vous ne remplissez rien.</t>
  </si>
  <si>
    <t xml:space="preserve">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</si>
  <si>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</si>
  <si>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</si>
  <si>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</si>
  <si>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</si>
  <si>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 xml:space="preserve">4. Le commentaire est libre ; il est lu et conservé dans la fiche.</t>
  </si>
  <si>
    <t xml:space="preserve">5. Enregistrez le fichier au même endroit, sous le même nom : la session mère le relit automatiquement.</t>
  </si>
  <si>
    <t xml:space="preserve">Rappels</t>
  </si>
  <si>
    <t xml:space="preserve">— Une famille regroupe des variantes d'un même concept (autre seuil, autre source, ventilation) : en général une seule variante est cochée par défaut.</t>
  </si>
  <si>
    <t xml:space="preserve">— « Incontournable » = présent dans au moins trois cadres de référence (Doughnut, Stiglitz-Sen-Fitoussi, OCDE, Eurostat, INSEE).</t>
  </si>
  <si>
    <t xml:space="preserve">— « Déclaratif » = donnée d'enquête d'opinion ou de ressenti ; « Composite » = indice agrégé d'un producteur tiers (V-Dem, CPI…).</t>
  </si>
  <si>
    <t xml:space="preserve">— Sens « ambigu » : l'agent n'a pas pu établir si plus haut est mieux ; ces lignes sont écartées par défaut.</t>
  </si>
  <si>
    <t xml:space="preserve">— Les bornes (seuil minimal, objectif) ne sont pas traitées ici : elles viendront après le gel 2 (socle v1).</t>
  </si>
  <si>
    <t xml:space="preserve">Exemple de ligne remplie : décision « ecarte », commentaire « doublon de la série INSEE équivalente ; garder la variante INSEE ».</t>
  </si>
  <si>
    <t xml:space="preserve">Famille</t>
  </si>
  <si>
    <t xml:space="preserve">Identifiant</t>
  </si>
  <si>
    <t xml:space="preserve">Libellé</t>
  </si>
  <si>
    <t xml:space="preserve">Variante principale</t>
  </si>
  <si>
    <t xml:space="preserve">Définition courte</t>
  </si>
  <si>
    <t xml:space="preserve">Sens</t>
  </si>
  <si>
    <t xml:space="preserve">Unité</t>
  </si>
  <si>
    <t xml:space="preserve">Source</t>
  </si>
  <si>
    <t xml:space="preserve">Série (identifiant)</t>
  </si>
  <si>
    <t xml:space="preserve">Période</t>
  </si>
  <si>
    <t xml:space="preserve">Type</t>
  </si>
  <si>
    <t xml:space="preserve">Déclaratif</t>
  </si>
  <si>
    <t xml:space="preserve">Composite</t>
  </si>
  <si>
    <t xml:space="preserve">Incontournable</t>
  </si>
  <si>
    <t xml:space="preserve">Recommandation de l'agent</t>
  </si>
  <si>
    <t xml:space="preserve">Motif de la recommandation</t>
  </si>
  <si>
    <t xml:space="preserve">Décision par défaut (si vous ne remplissez rien)</t>
  </si>
  <si>
    <t xml:space="preserve">Votre décision (liste déroulante)</t>
  </si>
  <si>
    <t xml:space="preserve">Votre commentaire</t>
  </si>
  <si>
    <t xml:space="preserve">aidance_personne_agee</t>
  </si>
  <si>
    <t xml:space="preserve">Part des personnes aidant régulièrement et bénévolement une personne âgée dépendante</t>
  </si>
  <si>
    <t xml:space="preserve">oui</t>
  </si>
  <si>
    <t xml:space="preserve">Part des personnes interrogées par le baromètre d'opinion de la DREES qui apportent une aide régulière et bénévole à une personne âgée dépendante vivant chez elles, chez elle ou ailleurs (question DE07, réponse « oui …</t>
  </si>
  <si>
    <t xml:space="preserve">ambigu</t>
  </si>
  <si>
    <t xml:space="preserve">% des répondants</t>
  </si>
  <si>
    <t xml:space="preserve">DREES — Baromètre d'opinion de la DREES (data.drees, jeu 431_le-barometre-d-opinion), microdonnées pondérées</t>
  </si>
  <si>
    <t xml:space="preserve">data.drees.solidarites-sante.gouv.fr, jeu 431_le-barometre-d-opinion, pièces jointes barometre2000_2024_diff_csv et barometre2025_diff_csv ; variable DE07, modalités 1</t>
  </si>
  <si>
    <t xml:space="preserve">2011-2025 (14 points, annuelle)</t>
  </si>
  <si>
    <t xml:space="preserve">resultat</t>
  </si>
  <si>
    <t xml:space="preserve">non</t>
  </si>
  <si>
    <t xml:space="preserve">ecarter</t>
  </si>
  <si>
    <t xml:space="preserve">Sens d'interprétation ambigu (solidarité de proximité ou charge supportée par les aidants, charte §3.4) et thème du travail non rémunéré non traité en v1 (A4).</t>
  </si>
  <si>
    <t xml:space="preserve">ecarte</t>
  </si>
  <si>
    <t xml:space="preserve">benevolat</t>
  </si>
  <si>
    <t xml:space="preserve">Bénévolat dans une association (au cours du mois écoulé)</t>
  </si>
  <si>
    <t xml:space="preserve">Part des personnes de 15 ans ou plus déclarant avoir donné de leur temps à une organisation au cours du mois écoulé (Gallup World Poll, base How's Life de l'OCDE, mesure 14_7 « Volunteering through organisations »).</t>
  </si>
  <si>
    <t xml:space="preserve">haut</t>
  </si>
  <si>
    <t xml:space="preserve">% des 15 ans ou plus</t>
  </si>
  <si>
    <t xml:space="preserve">OCDE (données Gallup World Poll) — How's Life? — bien-être futur (DSD_HSL@DF_HSL_FWB), mesure 14_7</t>
  </si>
  <si>
    <t xml:space="preserve">OECD.WISE.WDP,DSD_HSL@DF_HSL_FWB,1.1 MEASURE=14_7 UNIT_MEASURE=PT_POP_Y_GE15</t>
  </si>
  <si>
    <t xml:space="preserve">2007-2025 (7 points, irreguliere)</t>
  </si>
  <si>
    <t xml:space="preserve">retenir</t>
  </si>
  <si>
    <t xml:space="preserve">Seule série de bénévolat de la long-list (7 valeurs distinctes, 2007-2025), alors que la vie associative est nommée dans le contenu de la dimension ; réutilisation des données Gallup à confirmer (D26).</t>
  </si>
  <si>
    <t xml:space="preserve">retenu</t>
  </si>
  <si>
    <t xml:space="preserve">bilan_emotionnel_negatif</t>
  </si>
  <si>
    <t xml:space="preserve">Bilan émotionnel négatif (plus d'émotions négatives que positives la veille)</t>
  </si>
  <si>
    <t xml:space="preserve">Part des personnes de 15 ans ou plus déclarant avoir ressenti la veille plus d'émotions négatives (colère, tristesse, inquiétude) que d'émotions positives (plaisir, repos, rire ou sourire) (Gallup World Poll, base How's …</t>
  </si>
  <si>
    <t xml:space="preserve">bas</t>
  </si>
  <si>
    <t xml:space="preserve">OCDE (données Gallup World Poll) — How's Life? — bien-être actuel (DSD_HSL@DF_HSL_CWB), mesure 11_2</t>
  </si>
  <si>
    <t xml:space="preserve">OECD.WISE.WDP,DSD_HSL@DF_HSL_CWB,1.1 MEASURE=11_2 UNIT_MEASURE=PT_POP_Y_GE15</t>
  </si>
  <si>
    <t xml:space="preserve">2006-2025 (7 points, irreguliere)</t>
  </si>
  <si>
    <t xml:space="preserve">Seule série d'affect négatif disponible pour la France (7 valeurs distinctes de 2006 à 2025), les émotions ressenties faisant partie du contenu de la dimension ; réutilisation des données Gallup à confirmer auprès de l'OCDE (D26).</t>
  </si>
  <si>
    <t xml:space="preserve">bonheur_ressenti</t>
  </si>
  <si>
    <t xml:space="preserve">Part des personnes heureuses tout le temps ou la plupart du temps (4 dernières semaines)</t>
  </si>
  <si>
    <t xml:space="preserve">Part des personnes de 16 ans ou plus déclarant avoir été heureuses tout le temps ou la plupart du temps au cours des quatre dernières semaines (module bien-être d'EU-SILC, dont SRCV est le volet français) : somme des …</t>
  </si>
  <si>
    <t xml:space="preserve">% des 16 ans ou plus</t>
  </si>
  <si>
    <t xml:space="preserve">Eurostat — ilc_pw08 (EU-SILC, module bien-être)</t>
  </si>
  <si>
    <t xml:space="preserve">ilc_pw08?freq=A&amp;unit=PC&amp;isced11=TOTAL&amp;frequenc=ALW&amp;frequenc=MOST&amp;sex=T&amp;age=Y_GE16&amp;geo=FR</t>
  </si>
  <si>
    <t xml:space="preserve">2013-2022 (3 points, irreguliere)</t>
  </si>
  <si>
    <t xml:space="preserve">Seule mesure publique d'affect positif pour la France (3 vagues : 2013, 2018, 2022), admise comme série irrégulière (D17), alors que les émotions ressenties font partie du contenu de la dimension.</t>
  </si>
  <si>
    <t xml:space="preserve">cohesion_sociale_percue</t>
  </si>
  <si>
    <t xml:space="preserve">Part des personnes jugeant la cohésion sociale forte en France</t>
  </si>
  <si>
    <t xml:space="preserve">Part des personnes interrogées par le baromètre d'opinion de la DREES qui jugent la cohésion sociale en France actuellement très forte ou assez forte (question CS01), non-réponses incluses au dénominateur, avec la …</t>
  </si>
  <si>
    <t xml:space="preserve">data.drees.solidarites-sante.gouv.fr, jeu 431_le-barometre-d-opinion, pièces jointes barometre2000_2024_diff_csv et barometre2025_diff_csv ; variable CS01, modalités 1+2</t>
  </si>
  <si>
    <t xml:space="preserve">2014-2025 (12 points, annuelle)</t>
  </si>
  <si>
    <t xml:space="preserve">Série annuelle de 12 points (2014-2025) sur la perception du lien social à l'échelle du pays, complémentaire de la confiance envers les autres qui n'a que 7 vagues.</t>
  </si>
  <si>
    <t xml:space="preserve">confiance_autrui</t>
  </si>
  <si>
    <t xml:space="preserve">Confiance envers les autres (note moyenne de 0 à 10)</t>
  </si>
  <si>
    <t xml:space="preserve">Note moyenne, sur une échelle de 0 à 10, donnée par les personnes de 16 ans ou plus à leur confiance envers les autres (EU-SILC, dont SRCV est le volet français ; jeu Eurostat ilc_pw03).</t>
  </si>
  <si>
    <t xml:space="preserve">note moyenne (0 à 10)</t>
  </si>
  <si>
    <t xml:space="preserve">Eurostat — ilc_pw03 (EU-SILC, bien-être)</t>
  </si>
  <si>
    <t xml:space="preserve">ilc_pw03?freq=A&amp;statinfo=AVG&amp;unit=RTG&amp;isced11=TOTAL&amp;domain=OTH&amp;sex=T&amp;age=Y_GE16&amp;geo=FR</t>
  </si>
  <si>
    <t xml:space="preserve">2013-2025 (7 points, irreguliere)</t>
  </si>
  <si>
    <t xml:space="preserve">Confiance interpersonnelle rattachée à cette dimension (A11, R5), série la plus longue disponible (7 vagues, 2013-2025), bien que toutes les valeurs françaises portent le drapeau Eurostat de faible fiabilité « u ».</t>
  </si>
  <si>
    <t xml:space="preserve">depart_vacances</t>
  </si>
  <si>
    <t xml:space="preserve">Taux de départ en vacances (voyage personnel d'au moins 4 nuits dans l'année)</t>
  </si>
  <si>
    <t xml:space="preserve">Part des résidents de 15 ans ou plus de France métropolitaine ayant fait dans l'année au moins un voyage pour motifs personnels d'au moins quatre nuitées, en France ou à l'étranger (enquête Suivi de la demande …</t>
  </si>
  <si>
    <t xml:space="preserve">% des résidents de 15 ans ou plus</t>
  </si>
  <si>
    <t xml:space="preserve">Eurostat — tour_dem_totot (demande touristique des résidents)</t>
  </si>
  <si>
    <t xml:space="preserve">tour_dem_totot?freq=A&amp;duration=N_GE4&amp;c_dest=WORLD&amp;unit=PC_POP&amp;geo=FR</t>
  </si>
  <si>
    <t xml:space="preserve">2012-2025 (14 points, annuelle)</t>
  </si>
  <si>
    <t xml:space="preserve">Seule mesure du départ effectif en vacances, contenu explicite de la dimension (A13), annuelle de 2012 à 2025 (14 points vérifiés à la source), malgré une rupture de série en 2020 documentée par Eurostat.</t>
  </si>
  <si>
    <t xml:space="preserve">integration_sociale</t>
  </si>
  <si>
    <t xml:space="preserve">Part des personnes se sentant intégrées dans la société</t>
  </si>
  <si>
    <t xml:space="preserve">Part des personnes interrogées par le baromètre d'opinion de la DREES qui se sentent très bien ou assez bien intégrées dans la société (question CS05), non-réponses incluses au dénominateur, avec la pondération de …</t>
  </si>
  <si>
    <t xml:space="preserve">data.drees.solidarites-sante.gouv.fr, jeu 431_le-barometre-d-opinion, pièces jointes barometre2000_2024_diff_csv et barometre2025_diff_csv ; variable CS05, modalités 1+2</t>
  </si>
  <si>
    <t xml:space="preserve">Série annuelle de 12 points (2014-2025) mesurant l'inclusion sociale ressentie, concept du cadre Eurostat (« perception de l'inclusion sociale ») sans autre source annuelle pour la France.</t>
  </si>
  <si>
    <t xml:space="preserve">optimisme</t>
  </si>
  <si>
    <t xml:space="preserve">optimisme_avenir_personnel</t>
  </si>
  <si>
    <t xml:space="preserve">Part des personnes optimistes pour leur propre avenir</t>
  </si>
  <si>
    <t xml:space="preserve">Part des personnes interrogées par le baromètre d'opinion de la DREES qui se disent très ou plutôt optimistes quand elles pensent à l'avenir pour elles-mêmes (question OG03_1), non-réponses incluses au dénominateur, …</t>
  </si>
  <si>
    <t xml:space="preserve">data.drees.solidarites-sante.gouv.fr, jeu 431_le-barometre-d-opinion, pièces jointes barometre2000_2024_diff_csv et barometre2025_diff_csv ; variable OG03_1, modalités 1+2</t>
  </si>
  <si>
    <t xml:space="preserve">2000-2025 (25 points, annuelle)</t>
  </si>
  <si>
    <t xml:space="preserve">Série annuelle la plus longue de la dimension (25 points, 2000-2025) et seule mesure disponible de la projection dans l'avenir, le sens de la vie n'étant mesuré qu'en 2013.</t>
  </si>
  <si>
    <t xml:space="preserve">optimisme_generations_futures</t>
  </si>
  <si>
    <t xml:space="preserve">Part des personnes optimistes pour l'avenir de leurs enfants et des générations futures</t>
  </si>
  <si>
    <t xml:space="preserve">Part des personnes interrogées par le baromètre d'opinion de la DREES qui se disent très ou plutôt optimistes quand elles pensent à l'avenir pour leurs enfants ou les générations futures (question OG03_2), non-réponses …</t>
  </si>
  <si>
    <t xml:space="preserve">data.drees.solidarites-sante.gouv.fr, jeu 431_le-barometre-d-opinion, pièces jointes barometre2000_2024_diff_csv et barometre2025_diff_csv ; variable OG03_2, modalités 1+2</t>
  </si>
  <si>
    <t xml:space="preserve">Opinion sur l'avenir collectif suivie chaque année depuis 2000 (25 points, 2000-2025), fiche de famille propre et retenue comme les autres opinions sur la société (D32).</t>
  </si>
  <si>
    <t xml:space="preserve">participation_culturelle_sportive</t>
  </si>
  <si>
    <t xml:space="preserve">Participation à des sorties culturelles ou sportives (12 derniers mois)</t>
  </si>
  <si>
    <t xml:space="preserve">Part des personnes de 16 ans ou plus ayant participé au moins une fois au cours des douze derniers mois à une activité culturelle ou sportive (cinéma, spectacle vivant, site culturel ou événement sportif, d'après le …</t>
  </si>
  <si>
    <t xml:space="preserve">Eurostat — ilc_scp01 (EU-SILC, participation sociale et culturelle)</t>
  </si>
  <si>
    <t xml:space="preserve">ilc_scp01?freq=A&amp;frequenc=GE1&amp;isced11=TOTAL&amp;age=Y_GE16&amp;sex=T&amp;unit=PC&amp;geo=FR</t>
  </si>
  <si>
    <t xml:space="preserve">2006-2022 (3 points, irreguliere)</t>
  </si>
  <si>
    <t xml:space="preserve">Seule mesure publique de participation culturelle et sportive pour la France (3 vagues : 2006, 2015, 2022), contenu explicite de la dimension (A13), admise comme série irrégulière (D17).</t>
  </si>
  <si>
    <t xml:space="preserve">privation_loisirs</t>
  </si>
  <si>
    <t xml:space="preserve">Ne pas avoir les moyens de participer régulièrement à une activité de loisirs</t>
  </si>
  <si>
    <t xml:space="preserve">Part des personnes de 16 ans ou plus déclarant ne pas avoir les moyens de participer régulièrement à une activité de loisirs (item de la privation matérielle et sociale d'EU-SILC ; jeu Eurostat ilc_mdes11a, âge « total …</t>
  </si>
  <si>
    <t xml:space="preserve">Eurostat — ilc_mdes11a (EU-SILC, privation matérielle et sociale)</t>
  </si>
  <si>
    <t xml:space="preserve">ilc_mdes11a?freq=A&amp;unit=PC&amp;rskpovth=TOTAL&amp;age=TOTAL&amp;sex=T&amp;geo=FR</t>
  </si>
  <si>
    <t xml:space="preserve">Série annuelle de 12 points (2014-2025) mesurant l'accès aux loisirs sous contrainte financière, les loisirs relevant de cette dimension (A13) et les items de privation de leur domaine (R3).</t>
  </si>
  <si>
    <t xml:space="preserve">privation_sorties_proches</t>
  </si>
  <si>
    <t xml:space="preserve">Ne pas avoir les moyens de retrouver des proches autour d'un verre ou d'un repas une fois par mois</t>
  </si>
  <si>
    <t xml:space="preserve">Part des personnes de 16 ans ou plus déclarant ne pas avoir les moyens de retrouver des amis ou de la famille autour d'un verre ou d'un repas au moins une fois par mois (item de la privation matérielle et sociale …</t>
  </si>
  <si>
    <t xml:space="preserve">Eurostat — ilc_mdes10a (EU-SILC, privation matérielle et sociale)</t>
  </si>
  <si>
    <t xml:space="preserve">ilc_mdes10a?freq=A&amp;unit=PC&amp;rskpovth=TOTAL&amp;age=TOTAL&amp;sex=T&amp;geo=FR</t>
  </si>
  <si>
    <t xml:space="preserve">Série annuelle de 12 points (2014-2025) mesurant l'empêchement financier de voir ses proches, seule mesure annuelle de la vie relationnelle hors baromètres d'opinion.</t>
  </si>
  <si>
    <t xml:space="preserve">privation_vacances</t>
  </si>
  <si>
    <t xml:space="preserve">Ne pas pouvoir se payer une semaine de vacances par an hors du domicile</t>
  </si>
  <si>
    <t xml:space="preserve">Part des personnes vivant dans un ménage qui n'a pas les moyens de s'offrir une semaine de vacances par an hors du domicile (item de la privation matérielle et sociale d'EU-SILC ; jeu Eurostat ilc_mdes02).</t>
  </si>
  <si>
    <t xml:space="preserve">%</t>
  </si>
  <si>
    <t xml:space="preserve">Eurostat — ilc_mdes02 (EU-SILC, privation matérielle)</t>
  </si>
  <si>
    <t xml:space="preserve">ilc_mdes02?freq=A&amp;hhcomp=TOTAL&amp;rskpovth=TOTAL&amp;unit=PC&amp;geo=FR</t>
  </si>
  <si>
    <t xml:space="preserve">2004-2025 (22 points, annuelle)</t>
  </si>
  <si>
    <t xml:space="preserve">Série annuelle la plus longue sur les vacances (22 points, 2004-2025), contenu explicite de la dimension (A13), rattachée aujourd'hui à travail par l'étiquette du jeu Eurostat.</t>
  </si>
  <si>
    <t xml:space="preserve">satisfaction_relations</t>
  </si>
  <si>
    <t xml:space="preserve">Satisfaction concernant les relations sociales (note moyenne de 0 à 10)</t>
  </si>
  <si>
    <t xml:space="preserve">Note moyenne, sur une échelle de 0 à 10, donnée par les personnes de 16 ans ou plus de France métropolitaine à leur satisfaction concernant leurs relations sociales (enquête SRCV).</t>
  </si>
  <si>
    <t xml:space="preserve">INSEE — Melodi DS_SRCV_SATISFACTION (enquête SRCV), mesure RELSATISF</t>
  </si>
  <si>
    <t xml:space="preserve">DS_SRCV_SATISFACTION?AGE=Y_GE16&amp;DECILE_NIVVIE=_T&amp;EDUC=_T&amp;EMPSTA_ENQ=_T&amp;FREQ=A&amp;GEO=FRANCE-FM&amp;HLTH_GALI=_T&amp;HLTH_SPH=_T&amp;NATIONALITY_TYPE=_T&amp;NB_DIFF=_T&amp;PCS=_Z&amp;SATISFNOTE=_T&amp;SEX=_T&amp;SRCV_MEASURE=RELSATISF&amp;TPH=_T&amp;TSH=_T</t>
  </si>
  <si>
    <t xml:space="preserve">2010-2022 (11 points, annuelle)</t>
  </si>
  <si>
    <t xml:space="preserve">Seule série annuelle sur la qualité des relations (11 points, 2010-2022), satisfaction du domaine « relations » qui relève de cette dimension (R4).</t>
  </si>
  <si>
    <t xml:space="preserve">satisfaction_vie</t>
  </si>
  <si>
    <t xml:space="preserve">Satisfaction dans la vie (note moyenne de 0 à 10)</t>
  </si>
  <si>
    <t xml:space="preserve">Note moyenne, sur une échelle de 0 à 10, donnée par les personnes de 16 ans ou plus de France métropolitaine à leur satisfaction concernant la vie qu'elles mènent actuellement (enquête Statistiques sur les ressources et …</t>
  </si>
  <si>
    <t xml:space="preserve">INSEE — Melodi DS_SRCV_SATISFACTION (enquête SRCV), mesure VIESATISF</t>
  </si>
  <si>
    <t xml:space="preserve">DS_SRCV_SATISFACTION?AGE=Y_GE16&amp;DECILE_NIVVIE=_T&amp;EDUC=_T&amp;EMPSTA_ENQ=_T&amp;FREQ=A&amp;GEO=FRANCE-FM&amp;HLTH_GALI=_T&amp;HLTH_SPH=_T&amp;NATIONALITY_TYPE=_T&amp;NB_DIFF=_T&amp;PCS=_Z&amp;SATISFNOTE=_T&amp;SEX=_T&amp;SRCV_MEASURE=VIESATISF&amp;TPH=_T&amp;TSH=_T</t>
  </si>
  <si>
    <t xml:space="preserve">2010-2025 (16 points, annuelle)</t>
  </si>
  <si>
    <t xml:space="preserve">Indicateur présent dans quatre cadres de référence (SSF, OCDE, Eurostat, INSEE) et indicateur de richesse nationale n° 5, publié chaque année par l'INSEE depuis 2010 (16 points, 2010-2025).</t>
  </si>
  <si>
    <t xml:space="preserve">retenu_socle</t>
  </si>
  <si>
    <t xml:space="preserve">evaluation_vie_cantril</t>
  </si>
  <si>
    <t xml:space="preserve">Évaluation de la vie (échelle de Cantril, World Happiness Report)</t>
  </si>
  <si>
    <t xml:space="preserve">Moyenne sur trois ans des réponses à l'échelle de Cantril (se situer entre 0, la pire vie possible, et 10, la meilleure vie possible), posée chaque année à environ 1 000 personnes en France par le Gallup World Poll et …</t>
  </si>
  <si>
    <t xml:space="preserve">note (0 à 10)</t>
  </si>
  <si>
    <t xml:space="preserve">World Happiness Report (données Gallup World Poll) — WHR 2026, données de la figure 2.1 (colonne « Life evaluation (3-year average) »)</t>
  </si>
  <si>
    <t xml:space="preserve">https://files.worldhappiness.report/WHR26_Data_Figure_2.1.xlsx (colonne « Life evaluation (3-year average) »)</t>
  </si>
  <si>
    <t xml:space="preserve">Même concept que satisfaction_vie, couvert par l'INSEE sur une période équivalente (2010-2025 contre 2011-2025), alors que cette série est une moyenne glissante sur trois ans, sans valeur 2013 et sans licence de réutilisation trouvée.</t>
  </si>
  <si>
    <t xml:space="preserve">satisfaction_vie_faible</t>
  </si>
  <si>
    <t xml:space="preserve">Part des personnes peu satisfaites de leur vie (note de 0 à 5)</t>
  </si>
  <si>
    <t xml:space="preserve">Part des personnes de 16 ans ou plus de France métropolitaine qui donnent une note de 0 à 5 sur 10 à leur satisfaction concernant la vie qu'elles mènent actuellement (enquête SRCV).</t>
  </si>
  <si>
    <t xml:space="preserve">INSEE — Melodi DS_SRCV_SATISFACTION (enquête SRCV), mesure PT_NOTE_IN_VIESATISF_BY_AGE, note 0-5</t>
  </si>
  <si>
    <t xml:space="preserve">DS_SRCV_SATISFACTION?AGE=Y_GE16&amp;DECILE_NIVVIE=_T&amp;EDUC=_T&amp;EMPSTA_ENQ=_T&amp;FREQ=A&amp;GEO=FRANCE-FM&amp;HLTH_GALI=_T&amp;HLTH_SPH=_T&amp;NATIONALITY_TYPE=_T&amp;NB_DIFF=_T&amp;PCS=_Z&amp;SATISFNOTE=0T5&amp;SEX=_T&amp;SRCV_MEASURE=PT_NOTE_IN_VIESATISF_BY_AGE&amp;TPH=_T&amp;TSH=_T</t>
  </si>
  <si>
    <t xml:space="preserve">retenir_variante</t>
  </si>
  <si>
    <t xml:space="preserve">Même question SRCV que satisfaction_vie sur la même période (16 points, 2010-2025), lue comme la part de la population sous un seuil, ce qui correspond au type plancher de la dimension.</t>
  </si>
  <si>
    <t xml:space="preserve">situation_personnelle_bonne</t>
  </si>
  <si>
    <t xml:space="preserve">Part des personnes jugeant leur situation personnelle actuelle bonne</t>
  </si>
  <si>
    <t xml:space="preserve">Part des personnes interrogées par le baromètre d'opinion de la DREES qui jugent leur situation actuelle très bonne ou assez bonne (question OG01 : « Vous personnellement, comment qualifieriez-vous votre situation …</t>
  </si>
  <si>
    <t xml:space="preserve">data.drees.solidarites-sante.gouv.fr, jeu 431_le-barometre-d-opinion, pièces jointes barometre2000_2024_diff_csv et barometre2025_diff_csv ; variable OG01, modalités 1+2</t>
  </si>
  <si>
    <t xml:space="preserve">2002-2025 (23 points, annuelle)</t>
  </si>
  <si>
    <t xml:space="preserve">Seule évaluation globale annuelle disponible avant 2010 (23 points, 2002-2025), mais sa question porte sur la « situation actuelle » et non sur la satisfaction dans la vie.</t>
  </si>
  <si>
    <t xml:space="preserve">solitude</t>
  </si>
  <si>
    <t xml:space="preserve">Part des personnes se sentant souvent seules</t>
  </si>
  <si>
    <t xml:space="preserve">Part des personnes interrogées par le baromètre d'opinion de la DREES qui déclarent se sentir souvent seules (question CS12 : « Vous arrive-t-il de vous sentir seul.e ? », réponse « souvent »), non-réponses incluses au …</t>
  </si>
  <si>
    <t xml:space="preserve">data.drees.solidarites-sante.gouv.fr, jeu 431_le-barometre-d-opinion, pièce jointe barometre2000_2025_diff_csv ; variable CS12, modalité 1</t>
  </si>
  <si>
    <t xml:space="preserve">2014-2025 (7 points, irreguliere)</t>
  </si>
  <si>
    <t xml:space="preserve">Seule série publique de solitude ressentie couvrant plus de deux années (7 vagues de 2014 à 2025, enquête métropolitaine), concept nommé dans le contenu de la dimension, admise comme série irrégulière (D17).</t>
  </si>
  <si>
    <t xml:space="preserve">soutien_social</t>
  </si>
  <si>
    <t xml:space="preserve">Soutien social (avoir quelqu'un sur qui compter en cas de difficulté)</t>
  </si>
  <si>
    <t xml:space="preserve">Part des personnes de 15 ans ou plus qui répondent oui à la question « Si vous aviez des ennuis, avez-vous des parents ou des amis sur lesquels vous pouvez compter pour vous aider chaque fois que vous en avez besoin ? » …</t>
  </si>
  <si>
    <t xml:space="preserve">OCDE (données Gallup World Poll) — How's Life? — bien-être actuel (DSD_HSL@DF_HSL_CWB), mesure 7_1</t>
  </si>
  <si>
    <t xml:space="preserve">OECD.WISE.WDP,DSD_HSL@DF_HSL_CWB,1.1 MEASURE=7_1 UNIT_MEASURE=PT_POP_Y_GE15</t>
  </si>
  <si>
    <t xml:space="preserve">Incontournable (Doughnut, OCDE How's Life, Eurostat Qualité de vie) et seule série couvrant 2006-2025 (7 valeurs distinctes), l'équivalent public EU-SILC n'ayant que 3 vagues (2013, 2018, 2022).</t>
  </si>
  <si>
    <t xml:space="preserve">vie_associative</t>
  </si>
  <si>
    <t xml:space="preserve">Part des personnes membres d'une association</t>
  </si>
  <si>
    <t xml:space="preserve">Part des personnes interrogées par le baromètre d'opinion de la DREES qui déclarent être membres d'une association (question SDASSYND_2 : « Vous personnellement, êtes-vous membre d'une association ? », réponse « oui »), …</t>
  </si>
  <si>
    <t xml:space="preserve">data.drees.solidarites-sante.gouv.fr, jeu 431_le-barometre-d-opinion, pièce jointe barometre2000_2025_diff_csv ; variable SDASSYND_2, modalité 1</t>
  </si>
  <si>
    <t xml:space="preserve">Seule mesure publique et annuelle de la vie associative depuis 2000 (question posée 25 années sur 2000-2025), concept nommé dans le contenu de la dimension, sous réserve du calcul des valeurs par le robot M04.</t>
  </si>
  <si>
    <t xml:space="preserve">Dimension</t>
  </si>
  <si>
    <t xml:space="preserve">Liens sociaux et bien-être ressenti</t>
  </si>
  <si>
    <t xml:space="preserve">Indicateurs candidats (fiches)</t>
  </si>
  <si>
    <t xml:space="preserve">Familles distinctes</t>
  </si>
  <si>
    <t xml:space="preserve">Recommandations de l'agent</t>
  </si>
  <si>
    <t xml:space="preserve">  retenir</t>
  </si>
  <si>
    <t xml:space="preserve">  retenir_variante</t>
  </si>
  <si>
    <t xml:space="preserve">  ecarter</t>
  </si>
  <si>
    <t xml:space="preserve">Décisions par défaut</t>
  </si>
  <si>
    <t xml:space="preserve">  retenu_socle</t>
  </si>
  <si>
    <t xml:space="preserve">  retenu</t>
  </si>
  <si>
    <t xml:space="preserve">  ecarte</t>
  </si>
  <si>
    <t xml:space="preserve">  a_discuter</t>
  </si>
  <si>
    <t xml:space="preserve">Vos décisions saisies (exceptions)</t>
  </si>
  <si>
    <t xml:space="preserve">  dont retenu_socle</t>
  </si>
  <si>
    <t xml:space="preserve">  dont retenu</t>
  </si>
  <si>
    <t xml:space="preserve">  dont ecarte</t>
  </si>
  <si>
    <t xml:space="preserve">  dont a_discuter</t>
  </si>
  <si>
    <t xml:space="preserve">Les comptes se recalculent à l'ouverture dans Excel.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</si>
</sst>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Arial"/>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44"/>
    <col collapsed="false" customWidth="true" hidden="false" outlineLevel="0" max="4" min="4" style="0" width="11"/>
    <col collapsed="false" customWidth="true" hidden="false" outlineLevel="0" max="5" min="5" style="0" width="60"/>
    <col collapsed="false" customWidth="true" hidden="false" outlineLevel="0" max="6" min="6" style="0" width="8"/>
    <col collapsed="false" customWidth="true" hidden="false" outlineLevel="0" max="7" min="7" style="0" width="18"/>
    <col collapsed="false" customWidth="true" hidden="false" outlineLevel="0" max="8" min="8" style="0" width="36"/>
    <col collapsed="false" customWidth="true" hidden="false" outlineLevel="0" max="9" min="9" style="0" width="30"/>
    <col collapsed="false" customWidth="true" hidden="false" outlineLevel="0" max="10" min="10" style="0" width="22"/>
    <col collapsed="false" customWidth="true" hidden="false" outlineLevel="0" max="13" min="11" style="0" width="10"/>
    <col collapsed="false" customWidth="true" hidden="false" outlineLevel="0" max="14" min="14" style="0" width="13"/>
    <col collapsed="false" customWidth="true" hidden="false" outlineLevel="0" max="15" min="15" style="0" width="16"/>
    <col collapsed="false" customWidth="true" hidden="false" outlineLevel="0" max="16" min="16" style="0" width="70"/>
    <col collapsed="false" customWidth="true" hidden="false" outlineLevel="0" max="17" min="17" style="0" width="18"/>
    <col collapsed="false" customWidth="true" hidden="false" outlineLevel="0" max="18" min="18" style="0" width="20"/>
    <col collapsed="false" customWidth="true" hidden="false" outlineLevel="0" max="19" min="19" style="0" width="40"/>
  </cols>
  <sheetData>
    <row r="1" customFormat="false" ht="42" hidden="false" customHeight="true" outlineLevel="0" collapsed="false">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customFormat="false" ht="60" hidden="false" customHeight="true" outlineLevel="0" collapsed="false">
      <c r="A2" s="5" t="s">
        <v>37</v>
      </c>
      <c r="B2" s="6" t="s">
        <v>37</v>
      </c>
      <c r="C2" s="5" t="s">
        <v>38</v>
      </c>
      <c r="D2" s="5" t="s">
        <v>39</v>
      </c>
      <c r="E2" s="5" t="s">
        <v>40</v>
      </c>
      <c r="F2" s="5" t="s">
        <v>41</v>
      </c>
      <c r="G2" s="5" t="s">
        <v>42</v>
      </c>
      <c r="H2" s="5" t="s">
        <v>43</v>
      </c>
      <c r="I2" s="5" t="s">
        <v>44</v>
      </c>
      <c r="J2" s="5" t="s">
        <v>45</v>
      </c>
      <c r="K2" s="5" t="s">
        <v>46</v>
      </c>
      <c r="L2" s="5" t="s">
        <v>47</v>
      </c>
      <c r="M2" s="5" t="s">
        <v>47</v>
      </c>
      <c r="N2" s="5" t="s">
        <v>47</v>
      </c>
      <c r="O2" s="5" t="s">
        <v>48</v>
      </c>
      <c r="P2" s="5" t="s">
        <v>49</v>
      </c>
      <c r="Q2" s="5" t="s">
        <v>50</v>
      </c>
      <c r="R2" s="7"/>
      <c r="S2" s="7"/>
    </row>
    <row r="3" customFormat="false" ht="60" hidden="false" customHeight="true" outlineLevel="0" collapsed="false">
      <c r="A3" s="5" t="s">
        <v>51</v>
      </c>
      <c r="B3" s="6" t="s">
        <v>51</v>
      </c>
      <c r="C3" s="5" t="s">
        <v>52</v>
      </c>
      <c r="D3" s="5" t="s">
        <v>39</v>
      </c>
      <c r="E3" s="5" t="s">
        <v>53</v>
      </c>
      <c r="F3" s="5" t="s">
        <v>54</v>
      </c>
      <c r="G3" s="5" t="s">
        <v>55</v>
      </c>
      <c r="H3" s="5" t="s">
        <v>56</v>
      </c>
      <c r="I3" s="5" t="s">
        <v>57</v>
      </c>
      <c r="J3" s="5" t="s">
        <v>58</v>
      </c>
      <c r="K3" s="5" t="s">
        <v>46</v>
      </c>
      <c r="L3" s="5" t="s">
        <v>47</v>
      </c>
      <c r="M3" s="5" t="s">
        <v>47</v>
      </c>
      <c r="N3" s="5" t="s">
        <v>47</v>
      </c>
      <c r="O3" s="5" t="s">
        <v>59</v>
      </c>
      <c r="P3" s="5" t="s">
        <v>60</v>
      </c>
      <c r="Q3" s="5" t="s">
        <v>61</v>
      </c>
      <c r="R3" s="7"/>
      <c r="S3" s="7"/>
    </row>
    <row r="4" customFormat="false" ht="60" hidden="false" customHeight="true" outlineLevel="0" collapsed="false">
      <c r="A4" s="5" t="s">
        <v>62</v>
      </c>
      <c r="B4" s="6" t="s">
        <v>62</v>
      </c>
      <c r="C4" s="5" t="s">
        <v>63</v>
      </c>
      <c r="D4" s="5" t="s">
        <v>39</v>
      </c>
      <c r="E4" s="5" t="s">
        <v>64</v>
      </c>
      <c r="F4" s="5" t="s">
        <v>65</v>
      </c>
      <c r="G4" s="5" t="s">
        <v>55</v>
      </c>
      <c r="H4" s="5" t="s">
        <v>66</v>
      </c>
      <c r="I4" s="5" t="s">
        <v>67</v>
      </c>
      <c r="J4" s="5" t="s">
        <v>68</v>
      </c>
      <c r="K4" s="5" t="s">
        <v>46</v>
      </c>
      <c r="L4" s="5" t="s">
        <v>39</v>
      </c>
      <c r="M4" s="5" t="s">
        <v>47</v>
      </c>
      <c r="N4" s="5" t="s">
        <v>47</v>
      </c>
      <c r="O4" s="5" t="s">
        <v>59</v>
      </c>
      <c r="P4" s="5" t="s">
        <v>69</v>
      </c>
      <c r="Q4" s="5" t="s">
        <v>61</v>
      </c>
      <c r="R4" s="7"/>
      <c r="S4" s="7"/>
    </row>
    <row r="5" customFormat="false" ht="60" hidden="false" customHeight="true" outlineLevel="0" collapsed="false">
      <c r="A5" s="5" t="s">
        <v>70</v>
      </c>
      <c r="B5" s="6" t="s">
        <v>70</v>
      </c>
      <c r="C5" s="5" t="s">
        <v>71</v>
      </c>
      <c r="D5" s="5" t="s">
        <v>39</v>
      </c>
      <c r="E5" s="5" t="s">
        <v>72</v>
      </c>
      <c r="F5" s="5" t="s">
        <v>54</v>
      </c>
      <c r="G5" s="5" t="s">
        <v>73</v>
      </c>
      <c r="H5" s="5" t="s">
        <v>74</v>
      </c>
      <c r="I5" s="5" t="s">
        <v>75</v>
      </c>
      <c r="J5" s="5" t="s">
        <v>76</v>
      </c>
      <c r="K5" s="5" t="s">
        <v>46</v>
      </c>
      <c r="L5" s="5" t="s">
        <v>39</v>
      </c>
      <c r="M5" s="5" t="s">
        <v>47</v>
      </c>
      <c r="N5" s="5" t="s">
        <v>47</v>
      </c>
      <c r="O5" s="5" t="s">
        <v>59</v>
      </c>
      <c r="P5" s="5" t="s">
        <v>77</v>
      </c>
      <c r="Q5" s="5" t="s">
        <v>61</v>
      </c>
      <c r="R5" s="7"/>
      <c r="S5" s="7"/>
    </row>
    <row r="6" customFormat="false" ht="60" hidden="false" customHeight="true" outlineLevel="0" collapsed="false">
      <c r="A6" s="5" t="s">
        <v>78</v>
      </c>
      <c r="B6" s="6" t="s">
        <v>78</v>
      </c>
      <c r="C6" s="5" t="s">
        <v>79</v>
      </c>
      <c r="D6" s="5" t="s">
        <v>39</v>
      </c>
      <c r="E6" s="5" t="s">
        <v>80</v>
      </c>
      <c r="F6" s="5" t="s">
        <v>54</v>
      </c>
      <c r="G6" s="5" t="s">
        <v>42</v>
      </c>
      <c r="H6" s="5" t="s">
        <v>43</v>
      </c>
      <c r="I6" s="5" t="s">
        <v>81</v>
      </c>
      <c r="J6" s="5" t="s">
        <v>82</v>
      </c>
      <c r="K6" s="5" t="s">
        <v>46</v>
      </c>
      <c r="L6" s="5" t="s">
        <v>39</v>
      </c>
      <c r="M6" s="5" t="s">
        <v>47</v>
      </c>
      <c r="N6" s="5" t="s">
        <v>47</v>
      </c>
      <c r="O6" s="5" t="s">
        <v>59</v>
      </c>
      <c r="P6" s="5" t="s">
        <v>83</v>
      </c>
      <c r="Q6" s="5" t="s">
        <v>61</v>
      </c>
      <c r="R6" s="7"/>
      <c r="S6" s="7"/>
    </row>
    <row r="7" customFormat="false" ht="60" hidden="false" customHeight="true" outlineLevel="0" collapsed="false">
      <c r="A7" s="5" t="s">
        <v>84</v>
      </c>
      <c r="B7" s="6" t="s">
        <v>84</v>
      </c>
      <c r="C7" s="5" t="s">
        <v>85</v>
      </c>
      <c r="D7" s="5" t="s">
        <v>39</v>
      </c>
      <c r="E7" s="5" t="s">
        <v>86</v>
      </c>
      <c r="F7" s="5" t="s">
        <v>54</v>
      </c>
      <c r="G7" s="5" t="s">
        <v>87</v>
      </c>
      <c r="H7" s="5" t="s">
        <v>88</v>
      </c>
      <c r="I7" s="5" t="s">
        <v>89</v>
      </c>
      <c r="J7" s="5" t="s">
        <v>90</v>
      </c>
      <c r="K7" s="5" t="s">
        <v>46</v>
      </c>
      <c r="L7" s="5" t="s">
        <v>39</v>
      </c>
      <c r="M7" s="5" t="s">
        <v>47</v>
      </c>
      <c r="N7" s="5" t="s">
        <v>47</v>
      </c>
      <c r="O7" s="5" t="s">
        <v>59</v>
      </c>
      <c r="P7" s="5" t="s">
        <v>91</v>
      </c>
      <c r="Q7" s="5" t="s">
        <v>61</v>
      </c>
      <c r="R7" s="7"/>
      <c r="S7" s="7"/>
    </row>
    <row r="8" customFormat="false" ht="60" hidden="false" customHeight="true" outlineLevel="0" collapsed="false">
      <c r="A8" s="5" t="s">
        <v>92</v>
      </c>
      <c r="B8" s="6" t="s">
        <v>92</v>
      </c>
      <c r="C8" s="5" t="s">
        <v>93</v>
      </c>
      <c r="D8" s="5" t="s">
        <v>39</v>
      </c>
      <c r="E8" s="5" t="s">
        <v>94</v>
      </c>
      <c r="F8" s="5" t="s">
        <v>54</v>
      </c>
      <c r="G8" s="5" t="s">
        <v>95</v>
      </c>
      <c r="H8" s="5" t="s">
        <v>96</v>
      </c>
      <c r="I8" s="5" t="s">
        <v>97</v>
      </c>
      <c r="J8" s="5" t="s">
        <v>98</v>
      </c>
      <c r="K8" s="5" t="s">
        <v>46</v>
      </c>
      <c r="L8" s="5" t="s">
        <v>47</v>
      </c>
      <c r="M8" s="5" t="s">
        <v>47</v>
      </c>
      <c r="N8" s="5" t="s">
        <v>47</v>
      </c>
      <c r="O8" s="5" t="s">
        <v>59</v>
      </c>
      <c r="P8" s="5" t="s">
        <v>99</v>
      </c>
      <c r="Q8" s="5" t="s">
        <v>61</v>
      </c>
      <c r="R8" s="7"/>
      <c r="S8" s="7"/>
    </row>
    <row r="9" customFormat="false" ht="60" hidden="false" customHeight="true" outlineLevel="0" collapsed="false">
      <c r="A9" s="5" t="s">
        <v>100</v>
      </c>
      <c r="B9" s="6" t="s">
        <v>100</v>
      </c>
      <c r="C9" s="5" t="s">
        <v>101</v>
      </c>
      <c r="D9" s="5" t="s">
        <v>39</v>
      </c>
      <c r="E9" s="5" t="s">
        <v>102</v>
      </c>
      <c r="F9" s="5" t="s">
        <v>54</v>
      </c>
      <c r="G9" s="5" t="s">
        <v>42</v>
      </c>
      <c r="H9" s="5" t="s">
        <v>43</v>
      </c>
      <c r="I9" s="5" t="s">
        <v>103</v>
      </c>
      <c r="J9" s="5" t="s">
        <v>82</v>
      </c>
      <c r="K9" s="5" t="s">
        <v>46</v>
      </c>
      <c r="L9" s="5" t="s">
        <v>39</v>
      </c>
      <c r="M9" s="5" t="s">
        <v>47</v>
      </c>
      <c r="N9" s="5" t="s">
        <v>47</v>
      </c>
      <c r="O9" s="5" t="s">
        <v>59</v>
      </c>
      <c r="P9" s="5" t="s">
        <v>104</v>
      </c>
      <c r="Q9" s="5" t="s">
        <v>61</v>
      </c>
      <c r="R9" s="7"/>
      <c r="S9" s="7"/>
    </row>
    <row r="10" customFormat="false" ht="60" hidden="false" customHeight="true" outlineLevel="0" collapsed="false">
      <c r="A10" s="5" t="s">
        <v>105</v>
      </c>
      <c r="B10" s="6" t="s">
        <v>106</v>
      </c>
      <c r="C10" s="5" t="s">
        <v>107</v>
      </c>
      <c r="D10" s="5" t="s">
        <v>39</v>
      </c>
      <c r="E10" s="5" t="s">
        <v>108</v>
      </c>
      <c r="F10" s="5" t="s">
        <v>54</v>
      </c>
      <c r="G10" s="5" t="s">
        <v>42</v>
      </c>
      <c r="H10" s="5" t="s">
        <v>43</v>
      </c>
      <c r="I10" s="5" t="s">
        <v>109</v>
      </c>
      <c r="J10" s="5" t="s">
        <v>110</v>
      </c>
      <c r="K10" s="5" t="s">
        <v>46</v>
      </c>
      <c r="L10" s="5" t="s">
        <v>39</v>
      </c>
      <c r="M10" s="5" t="s">
        <v>47</v>
      </c>
      <c r="N10" s="5" t="s">
        <v>47</v>
      </c>
      <c r="O10" s="5" t="s">
        <v>59</v>
      </c>
      <c r="P10" s="5" t="s">
        <v>111</v>
      </c>
      <c r="Q10" s="5" t="s">
        <v>61</v>
      </c>
      <c r="R10" s="7"/>
      <c r="S10" s="7"/>
    </row>
    <row r="11" customFormat="false" ht="60" hidden="false" customHeight="true" outlineLevel="0" collapsed="false">
      <c r="A11" s="5" t="s">
        <v>112</v>
      </c>
      <c r="B11" s="6" t="s">
        <v>112</v>
      </c>
      <c r="C11" s="5" t="s">
        <v>113</v>
      </c>
      <c r="D11" s="5" t="s">
        <v>39</v>
      </c>
      <c r="E11" s="5" t="s">
        <v>114</v>
      </c>
      <c r="F11" s="5" t="s">
        <v>54</v>
      </c>
      <c r="G11" s="5" t="s">
        <v>42</v>
      </c>
      <c r="H11" s="5" t="s">
        <v>43</v>
      </c>
      <c r="I11" s="5" t="s">
        <v>115</v>
      </c>
      <c r="J11" s="5" t="s">
        <v>110</v>
      </c>
      <c r="K11" s="5" t="s">
        <v>46</v>
      </c>
      <c r="L11" s="5" t="s">
        <v>39</v>
      </c>
      <c r="M11" s="5" t="s">
        <v>47</v>
      </c>
      <c r="N11" s="5" t="s">
        <v>47</v>
      </c>
      <c r="O11" s="5" t="s">
        <v>59</v>
      </c>
      <c r="P11" s="5" t="s">
        <v>116</v>
      </c>
      <c r="Q11" s="5" t="s">
        <v>61</v>
      </c>
      <c r="R11" s="7"/>
      <c r="S11" s="7"/>
    </row>
    <row r="12" customFormat="false" ht="60" hidden="false" customHeight="true" outlineLevel="0" collapsed="false">
      <c r="A12" s="5" t="s">
        <v>117</v>
      </c>
      <c r="B12" s="6" t="s">
        <v>117</v>
      </c>
      <c r="C12" s="5" t="s">
        <v>118</v>
      </c>
      <c r="D12" s="5" t="s">
        <v>39</v>
      </c>
      <c r="E12" s="5" t="s">
        <v>119</v>
      </c>
      <c r="F12" s="5" t="s">
        <v>54</v>
      </c>
      <c r="G12" s="5" t="s">
        <v>73</v>
      </c>
      <c r="H12" s="5" t="s">
        <v>120</v>
      </c>
      <c r="I12" s="5" t="s">
        <v>121</v>
      </c>
      <c r="J12" s="5" t="s">
        <v>122</v>
      </c>
      <c r="K12" s="5" t="s">
        <v>46</v>
      </c>
      <c r="L12" s="5" t="s">
        <v>47</v>
      </c>
      <c r="M12" s="5" t="s">
        <v>47</v>
      </c>
      <c r="N12" s="5" t="s">
        <v>47</v>
      </c>
      <c r="O12" s="5" t="s">
        <v>59</v>
      </c>
      <c r="P12" s="5" t="s">
        <v>123</v>
      </c>
      <c r="Q12" s="5" t="s">
        <v>61</v>
      </c>
      <c r="R12" s="7"/>
      <c r="S12" s="7"/>
    </row>
    <row r="13" customFormat="false" ht="60" hidden="false" customHeight="true" outlineLevel="0" collapsed="false">
      <c r="A13" s="5" t="s">
        <v>124</v>
      </c>
      <c r="B13" s="6" t="s">
        <v>124</v>
      </c>
      <c r="C13" s="5" t="s">
        <v>125</v>
      </c>
      <c r="D13" s="5" t="s">
        <v>39</v>
      </c>
      <c r="E13" s="5" t="s">
        <v>126</v>
      </c>
      <c r="F13" s="5" t="s">
        <v>65</v>
      </c>
      <c r="G13" s="5" t="s">
        <v>73</v>
      </c>
      <c r="H13" s="5" t="s">
        <v>127</v>
      </c>
      <c r="I13" s="5" t="s">
        <v>128</v>
      </c>
      <c r="J13" s="5" t="s">
        <v>82</v>
      </c>
      <c r="K13" s="5" t="s">
        <v>46</v>
      </c>
      <c r="L13" s="5" t="s">
        <v>47</v>
      </c>
      <c r="M13" s="5" t="s">
        <v>47</v>
      </c>
      <c r="N13" s="5" t="s">
        <v>47</v>
      </c>
      <c r="O13" s="5" t="s">
        <v>59</v>
      </c>
      <c r="P13" s="5" t="s">
        <v>129</v>
      </c>
      <c r="Q13" s="5" t="s">
        <v>61</v>
      </c>
      <c r="R13" s="7"/>
      <c r="S13" s="7"/>
    </row>
    <row r="14" customFormat="false" ht="60" hidden="false" customHeight="true" outlineLevel="0" collapsed="false">
      <c r="A14" s="5" t="s">
        <v>130</v>
      </c>
      <c r="B14" s="6" t="s">
        <v>130</v>
      </c>
      <c r="C14" s="5" t="s">
        <v>131</v>
      </c>
      <c r="D14" s="5" t="s">
        <v>39</v>
      </c>
      <c r="E14" s="5" t="s">
        <v>132</v>
      </c>
      <c r="F14" s="5" t="s">
        <v>65</v>
      </c>
      <c r="G14" s="5" t="s">
        <v>73</v>
      </c>
      <c r="H14" s="5" t="s">
        <v>133</v>
      </c>
      <c r="I14" s="5" t="s">
        <v>134</v>
      </c>
      <c r="J14" s="5" t="s">
        <v>82</v>
      </c>
      <c r="K14" s="5" t="s">
        <v>46</v>
      </c>
      <c r="L14" s="5" t="s">
        <v>47</v>
      </c>
      <c r="M14" s="5" t="s">
        <v>47</v>
      </c>
      <c r="N14" s="5" t="s">
        <v>47</v>
      </c>
      <c r="O14" s="5" t="s">
        <v>59</v>
      </c>
      <c r="P14" s="5" t="s">
        <v>135</v>
      </c>
      <c r="Q14" s="5" t="s">
        <v>61</v>
      </c>
      <c r="R14" s="7"/>
      <c r="S14" s="7"/>
    </row>
    <row r="15" customFormat="false" ht="60" hidden="false" customHeight="true" outlineLevel="0" collapsed="false">
      <c r="A15" s="5" t="s">
        <v>136</v>
      </c>
      <c r="B15" s="6" t="s">
        <v>136</v>
      </c>
      <c r="C15" s="5" t="s">
        <v>137</v>
      </c>
      <c r="D15" s="5" t="s">
        <v>39</v>
      </c>
      <c r="E15" s="5" t="s">
        <v>138</v>
      </c>
      <c r="F15" s="5" t="s">
        <v>65</v>
      </c>
      <c r="G15" s="5" t="s">
        <v>139</v>
      </c>
      <c r="H15" s="5" t="s">
        <v>140</v>
      </c>
      <c r="I15" s="5" t="s">
        <v>141</v>
      </c>
      <c r="J15" s="5" t="s">
        <v>142</v>
      </c>
      <c r="K15" s="5" t="s">
        <v>46</v>
      </c>
      <c r="L15" s="5" t="s">
        <v>47</v>
      </c>
      <c r="M15" s="5" t="s">
        <v>47</v>
      </c>
      <c r="N15" s="5" t="s">
        <v>47</v>
      </c>
      <c r="O15" s="5" t="s">
        <v>59</v>
      </c>
      <c r="P15" s="5" t="s">
        <v>143</v>
      </c>
      <c r="Q15" s="5" t="s">
        <v>61</v>
      </c>
      <c r="R15" s="7"/>
      <c r="S15" s="7"/>
    </row>
    <row r="16" customFormat="false" ht="60" hidden="false" customHeight="true" outlineLevel="0" collapsed="false">
      <c r="A16" s="5" t="s">
        <v>144</v>
      </c>
      <c r="B16" s="6" t="s">
        <v>144</v>
      </c>
      <c r="C16" s="5" t="s">
        <v>145</v>
      </c>
      <c r="D16" s="5" t="s">
        <v>39</v>
      </c>
      <c r="E16" s="5" t="s">
        <v>146</v>
      </c>
      <c r="F16" s="5" t="s">
        <v>54</v>
      </c>
      <c r="G16" s="5" t="s">
        <v>87</v>
      </c>
      <c r="H16" s="5" t="s">
        <v>147</v>
      </c>
      <c r="I16" s="5" t="s">
        <v>148</v>
      </c>
      <c r="J16" s="5" t="s">
        <v>149</v>
      </c>
      <c r="K16" s="5" t="s">
        <v>46</v>
      </c>
      <c r="L16" s="5" t="s">
        <v>39</v>
      </c>
      <c r="M16" s="5" t="s">
        <v>47</v>
      </c>
      <c r="N16" s="5" t="s">
        <v>47</v>
      </c>
      <c r="O16" s="5" t="s">
        <v>59</v>
      </c>
      <c r="P16" s="5" t="s">
        <v>150</v>
      </c>
      <c r="Q16" s="5" t="s">
        <v>61</v>
      </c>
      <c r="R16" s="7"/>
      <c r="S16" s="7"/>
    </row>
    <row r="17" customFormat="false" ht="60" hidden="false" customHeight="true" outlineLevel="0" collapsed="false">
      <c r="A17" s="5" t="s">
        <v>151</v>
      </c>
      <c r="B17" s="6" t="s">
        <v>151</v>
      </c>
      <c r="C17" s="5" t="s">
        <v>152</v>
      </c>
      <c r="D17" s="5" t="s">
        <v>39</v>
      </c>
      <c r="E17" s="5" t="s">
        <v>153</v>
      </c>
      <c r="F17" s="5" t="s">
        <v>54</v>
      </c>
      <c r="G17" s="5" t="s">
        <v>87</v>
      </c>
      <c r="H17" s="5" t="s">
        <v>154</v>
      </c>
      <c r="I17" s="5" t="s">
        <v>155</v>
      </c>
      <c r="J17" s="5" t="s">
        <v>156</v>
      </c>
      <c r="K17" s="5" t="s">
        <v>46</v>
      </c>
      <c r="L17" s="5" t="s">
        <v>39</v>
      </c>
      <c r="M17" s="5" t="s">
        <v>47</v>
      </c>
      <c r="N17" s="5" t="s">
        <v>39</v>
      </c>
      <c r="O17" s="5" t="s">
        <v>59</v>
      </c>
      <c r="P17" s="5" t="s">
        <v>157</v>
      </c>
      <c r="Q17" s="5" t="s">
        <v>158</v>
      </c>
      <c r="R17" s="7"/>
      <c r="S17" s="7"/>
    </row>
    <row r="18" customFormat="false" ht="60" hidden="false" customHeight="true" outlineLevel="0" collapsed="false">
      <c r="A18" s="5" t="s">
        <v>151</v>
      </c>
      <c r="B18" s="5" t="s">
        <v>159</v>
      </c>
      <c r="C18" s="5" t="s">
        <v>160</v>
      </c>
      <c r="D18" s="5" t="s">
        <v>47</v>
      </c>
      <c r="E18" s="5" t="s">
        <v>161</v>
      </c>
      <c r="F18" s="5" t="s">
        <v>54</v>
      </c>
      <c r="G18" s="5" t="s">
        <v>162</v>
      </c>
      <c r="H18" s="5" t="s">
        <v>163</v>
      </c>
      <c r="I18" s="5" t="s">
        <v>164</v>
      </c>
      <c r="J18" s="5" t="s">
        <v>45</v>
      </c>
      <c r="K18" s="5" t="s">
        <v>46</v>
      </c>
      <c r="L18" s="5" t="s">
        <v>39</v>
      </c>
      <c r="M18" s="5" t="s">
        <v>47</v>
      </c>
      <c r="N18" s="5" t="s">
        <v>47</v>
      </c>
      <c r="O18" s="5" t="s">
        <v>48</v>
      </c>
      <c r="P18" s="5" t="s">
        <v>165</v>
      </c>
      <c r="Q18" s="5" t="s">
        <v>50</v>
      </c>
      <c r="R18" s="7"/>
      <c r="S18" s="7"/>
    </row>
    <row r="19" customFormat="false" ht="60" hidden="false" customHeight="true" outlineLevel="0" collapsed="false">
      <c r="A19" s="5" t="s">
        <v>151</v>
      </c>
      <c r="B19" s="5" t="s">
        <v>166</v>
      </c>
      <c r="C19" s="5" t="s">
        <v>167</v>
      </c>
      <c r="D19" s="5" t="s">
        <v>47</v>
      </c>
      <c r="E19" s="5" t="s">
        <v>168</v>
      </c>
      <c r="F19" s="5" t="s">
        <v>65</v>
      </c>
      <c r="G19" s="5" t="s">
        <v>73</v>
      </c>
      <c r="H19" s="5" t="s">
        <v>169</v>
      </c>
      <c r="I19" s="5" t="s">
        <v>170</v>
      </c>
      <c r="J19" s="5" t="s">
        <v>156</v>
      </c>
      <c r="K19" s="5" t="s">
        <v>46</v>
      </c>
      <c r="L19" s="5" t="s">
        <v>39</v>
      </c>
      <c r="M19" s="5" t="s">
        <v>47</v>
      </c>
      <c r="N19" s="5" t="s">
        <v>47</v>
      </c>
      <c r="O19" s="5" t="s">
        <v>171</v>
      </c>
      <c r="P19" s="5" t="s">
        <v>172</v>
      </c>
      <c r="Q19" s="5" t="s">
        <v>61</v>
      </c>
      <c r="R19" s="7"/>
      <c r="S19" s="7"/>
    </row>
    <row r="20" customFormat="false" ht="60" hidden="false" customHeight="true" outlineLevel="0" collapsed="false">
      <c r="A20" s="5" t="s">
        <v>151</v>
      </c>
      <c r="B20" s="5" t="s">
        <v>173</v>
      </c>
      <c r="C20" s="5" t="s">
        <v>174</v>
      </c>
      <c r="D20" s="5" t="s">
        <v>47</v>
      </c>
      <c r="E20" s="5" t="s">
        <v>175</v>
      </c>
      <c r="F20" s="5" t="s">
        <v>54</v>
      </c>
      <c r="G20" s="5" t="s">
        <v>42</v>
      </c>
      <c r="H20" s="5" t="s">
        <v>43</v>
      </c>
      <c r="I20" s="5" t="s">
        <v>176</v>
      </c>
      <c r="J20" s="5" t="s">
        <v>177</v>
      </c>
      <c r="K20" s="5" t="s">
        <v>46</v>
      </c>
      <c r="L20" s="5" t="s">
        <v>39</v>
      </c>
      <c r="M20" s="5" t="s">
        <v>47</v>
      </c>
      <c r="N20" s="5" t="s">
        <v>47</v>
      </c>
      <c r="O20" s="5" t="s">
        <v>171</v>
      </c>
      <c r="P20" s="5" t="s">
        <v>178</v>
      </c>
      <c r="Q20" s="5" t="s">
        <v>61</v>
      </c>
      <c r="R20" s="7"/>
      <c r="S20" s="7"/>
    </row>
    <row r="21" customFormat="false" ht="60" hidden="false" customHeight="true" outlineLevel="0" collapsed="false">
      <c r="A21" s="5" t="s">
        <v>179</v>
      </c>
      <c r="B21" s="6" t="s">
        <v>179</v>
      </c>
      <c r="C21" s="5" t="s">
        <v>180</v>
      </c>
      <c r="D21" s="5" t="s">
        <v>39</v>
      </c>
      <c r="E21" s="5" t="s">
        <v>181</v>
      </c>
      <c r="F21" s="5" t="s">
        <v>65</v>
      </c>
      <c r="G21" s="5" t="s">
        <v>42</v>
      </c>
      <c r="H21" s="5" t="s">
        <v>43</v>
      </c>
      <c r="I21" s="5" t="s">
        <v>182</v>
      </c>
      <c r="J21" s="5" t="s">
        <v>183</v>
      </c>
      <c r="K21" s="5" t="s">
        <v>46</v>
      </c>
      <c r="L21" s="5" t="s">
        <v>39</v>
      </c>
      <c r="M21" s="5" t="s">
        <v>47</v>
      </c>
      <c r="N21" s="5" t="s">
        <v>47</v>
      </c>
      <c r="O21" s="5" t="s">
        <v>59</v>
      </c>
      <c r="P21" s="5" t="s">
        <v>184</v>
      </c>
      <c r="Q21" s="5" t="s">
        <v>61</v>
      </c>
      <c r="R21" s="7"/>
      <c r="S21" s="7"/>
    </row>
    <row r="22" customFormat="false" ht="60" hidden="false" customHeight="true" outlineLevel="0" collapsed="false">
      <c r="A22" s="5" t="s">
        <v>185</v>
      </c>
      <c r="B22" s="6" t="s">
        <v>185</v>
      </c>
      <c r="C22" s="5" t="s">
        <v>186</v>
      </c>
      <c r="D22" s="5" t="s">
        <v>39</v>
      </c>
      <c r="E22" s="5" t="s">
        <v>187</v>
      </c>
      <c r="F22" s="5" t="s">
        <v>54</v>
      </c>
      <c r="G22" s="5" t="s">
        <v>55</v>
      </c>
      <c r="H22" s="5" t="s">
        <v>188</v>
      </c>
      <c r="I22" s="5" t="s">
        <v>189</v>
      </c>
      <c r="J22" s="5" t="s">
        <v>68</v>
      </c>
      <c r="K22" s="5" t="s">
        <v>46</v>
      </c>
      <c r="L22" s="5" t="s">
        <v>39</v>
      </c>
      <c r="M22" s="5" t="s">
        <v>47</v>
      </c>
      <c r="N22" s="5" t="s">
        <v>39</v>
      </c>
      <c r="O22" s="5" t="s">
        <v>59</v>
      </c>
      <c r="P22" s="5" t="s">
        <v>190</v>
      </c>
      <c r="Q22" s="5" t="s">
        <v>158</v>
      </c>
      <c r="R22" s="7"/>
      <c r="S22" s="7"/>
    </row>
    <row r="23" customFormat="false" ht="60" hidden="false" customHeight="true" outlineLevel="0" collapsed="false">
      <c r="A23" s="5" t="s">
        <v>191</v>
      </c>
      <c r="B23" s="6" t="s">
        <v>191</v>
      </c>
      <c r="C23" s="5" t="s">
        <v>192</v>
      </c>
      <c r="D23" s="5" t="s">
        <v>39</v>
      </c>
      <c r="E23" s="5" t="s">
        <v>193</v>
      </c>
      <c r="F23" s="5" t="s">
        <v>54</v>
      </c>
      <c r="G23" s="5" t="s">
        <v>42</v>
      </c>
      <c r="H23" s="5" t="s">
        <v>43</v>
      </c>
      <c r="I23" s="5" t="s">
        <v>194</v>
      </c>
      <c r="J23" s="5" t="s">
        <v>110</v>
      </c>
      <c r="K23" s="5" t="s">
        <v>46</v>
      </c>
      <c r="L23" s="5" t="s">
        <v>47</v>
      </c>
      <c r="M23" s="5" t="s">
        <v>47</v>
      </c>
      <c r="N23" s="5" t="s">
        <v>47</v>
      </c>
      <c r="O23" s="5" t="s">
        <v>59</v>
      </c>
      <c r="P23" s="5" t="s">
        <v>195</v>
      </c>
      <c r="Q23" s="5" t="s">
        <v>61</v>
      </c>
      <c r="R23" s="7"/>
      <c r="S23" s="7"/>
    </row>
  </sheetData>
  <autoFilter ref="A1:S23"/>
  <conditionalFormatting sqref="A2:S23">
    <cfRule type="expression" priority="2" aboveAverage="0" equalAverage="0" bottom="0" percent="0" rank="0" text="" dxfId="5">
      <formula>$R2&lt;&gt;""</formula>
    </cfRule>
  </conditionalFormatting>
  <dataValidations count="1">
    <dataValidation allowBlank="true" error="Choisissez une valeur dans la liste : retenu, retenu_socle, ecarte, a_discuter" errorStyle="stop" errorTitle="Valeur non admise" operator="between" showDropDown="false" showErrorMessage="true" showInputMessage="false" sqref="R2:R23" type="list">
      <formula1>"retenu,retenu_socle,ecarte,a_discuter"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s>
  <sheetData>
    <row r="1" customFormat="false" ht="15" hidden="false" customHeight="false" outlineLevel="0" collapsed="false">
      <c r="A1" s="8" t="s">
        <v>196</v>
      </c>
      <c r="B1" s="9" t="s">
        <v>197</v>
      </c>
    </row>
    <row r="2" customFormat="false" ht="15" hidden="false" customHeight="false" outlineLevel="0" collapsed="false">
      <c r="A2" s="8" t="s">
        <v>198</v>
      </c>
      <c r="B2" s="9" t="n">
        <f aca="false">COUNTA(Validation!$B$2:$B$23)</f>
        <v>22</v>
      </c>
    </row>
    <row r="3" customFormat="false" ht="15" hidden="false" customHeight="false" outlineLevel="0" collapsed="false">
      <c r="A3" s="8" t="s">
        <v>199</v>
      </c>
      <c r="B3" s="9" t="n">
        <f aca="false">SUMPRODUCT((Validation!$A$2:$A$23&lt;&gt;"")/COUNTIF(Validation!$A$2:$A$23,Validation!$A$2:$A$23&amp;""))</f>
        <v>19</v>
      </c>
    </row>
    <row r="4" customFormat="false" ht="15" hidden="false" customHeight="false" outlineLevel="0" collapsed="false">
      <c r="A4" s="9"/>
      <c r="B4" s="9"/>
    </row>
    <row r="5" customFormat="false" ht="15" hidden="false" customHeight="false" outlineLevel="0" collapsed="false">
      <c r="A5" s="8" t="s">
        <v>200</v>
      </c>
      <c r="B5" s="9"/>
    </row>
    <row r="6" customFormat="false" ht="15" hidden="false" customHeight="false" outlineLevel="0" collapsed="false">
      <c r="A6" s="9" t="s">
        <v>201</v>
      </c>
      <c r="B6" s="9" t="n">
        <f aca="false">COUNTIF(Validation!$O$2:$O$23,"retenir")</f>
        <v>18</v>
      </c>
    </row>
    <row r="7" customFormat="false" ht="15" hidden="false" customHeight="false" outlineLevel="0" collapsed="false">
      <c r="A7" s="9" t="s">
        <v>202</v>
      </c>
      <c r="B7" s="9" t="n">
        <f aca="false">COUNTIF(Validation!$O$2:$O$23,"retenir_variante")</f>
        <v>2</v>
      </c>
    </row>
    <row r="8" customFormat="false" ht="15" hidden="false" customHeight="false" outlineLevel="0" collapsed="false">
      <c r="A8" s="9" t="s">
        <v>203</v>
      </c>
      <c r="B8" s="9" t="n">
        <f aca="false">COUNTIF(Validation!$O$2:$O$23,"ecarter")</f>
        <v>2</v>
      </c>
    </row>
    <row r="9" customFormat="false" ht="15" hidden="false" customHeight="false" outlineLevel="0" collapsed="false">
      <c r="A9" s="9"/>
      <c r="B9" s="9"/>
    </row>
    <row r="10" customFormat="false" ht="15" hidden="false" customHeight="false" outlineLevel="0" collapsed="false">
      <c r="A10" s="8" t="s">
        <v>204</v>
      </c>
      <c r="B10" s="9"/>
    </row>
    <row r="11" customFormat="false" ht="15" hidden="false" customHeight="false" outlineLevel="0" collapsed="false">
      <c r="A11" s="9" t="s">
        <v>205</v>
      </c>
      <c r="B11" s="9" t="n">
        <f aca="false">COUNTIF(Validation!$Q$2:$Q$23,"retenu_socle")</f>
        <v>2</v>
      </c>
    </row>
    <row r="12" customFormat="false" ht="15" hidden="false" customHeight="false" outlineLevel="0" collapsed="false">
      <c r="A12" s="9" t="s">
        <v>206</v>
      </c>
      <c r="B12" s="9" t="n">
        <f aca="false">COUNTIF(Validation!$Q$2:$Q$23,"retenu")</f>
        <v>18</v>
      </c>
    </row>
    <row r="13" customFormat="false" ht="15" hidden="false" customHeight="false" outlineLevel="0" collapsed="false">
      <c r="A13" s="9" t="s">
        <v>207</v>
      </c>
      <c r="B13" s="9" t="n">
        <f aca="false">COUNTIF(Validation!$Q$2:$Q$23,"ecarte")</f>
        <v>2</v>
      </c>
    </row>
    <row r="14" customFormat="false" ht="15" hidden="false" customHeight="false" outlineLevel="0" collapsed="false">
      <c r="A14" s="9" t="s">
        <v>208</v>
      </c>
      <c r="B14" s="9" t="n">
        <f aca="false">COUNTIF(Validation!$Q$2:$Q$23,"a_discuter")</f>
        <v>0</v>
      </c>
    </row>
    <row r="15" customFormat="false" ht="15" hidden="false" customHeight="false" outlineLevel="0" collapsed="false">
      <c r="A15" s="9"/>
      <c r="B15" s="9"/>
    </row>
    <row r="16" customFormat="false" ht="15" hidden="false" customHeight="false" outlineLevel="0" collapsed="false">
      <c r="A16" s="8" t="s">
        <v>209</v>
      </c>
      <c r="B16" s="9" t="n">
        <f aca="false">COUNTA(Validation!$R$2:$R$23)</f>
        <v>0</v>
      </c>
    </row>
    <row r="17" customFormat="false" ht="15" hidden="false" customHeight="false" outlineLevel="0" collapsed="false">
      <c r="A17" s="9" t="s">
        <v>210</v>
      </c>
      <c r="B17" s="9" t="n">
        <f aca="false">COUNTIF(Validation!$R$2:$R$23,"retenu_socle")</f>
        <v>0</v>
      </c>
    </row>
    <row r="18" customFormat="false" ht="15" hidden="false" customHeight="false" outlineLevel="0" collapsed="false">
      <c r="A18" s="9" t="s">
        <v>211</v>
      </c>
      <c r="B18" s="9" t="n">
        <f aca="false">COUNTIF(Validation!$R$2:$R$23,"retenu")</f>
        <v>0</v>
      </c>
    </row>
    <row r="19" customFormat="false" ht="15" hidden="false" customHeight="false" outlineLevel="0" collapsed="false">
      <c r="A19" s="9" t="s">
        <v>212</v>
      </c>
      <c r="B19" s="9" t="n">
        <f aca="false">COUNTIF(Validation!$R$2:$R$23,"ecarte")</f>
        <v>0</v>
      </c>
    </row>
    <row r="20" customFormat="false" ht="15" hidden="false" customHeight="false" outlineLevel="0" collapsed="false">
      <c r="A20" s="9" t="s">
        <v>213</v>
      </c>
      <c r="B20" s="9" t="n">
        <f aca="false">COUNTIF(Validation!$R$2:$R$23,"a_discuter")</f>
        <v>0</v>
      </c>
    </row>
    <row r="22" customFormat="false" ht="15" hidden="false" customHeight="false" outlineLevel="0" collapsed="false">
      <c r="A22" s="10"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2026-10-15T11:02:00Z</dcterms:created>
  <dc:creator>openpyxl</dc:creator>
  <dc:description/>
  <dc:language>en-US</dc:language>
  <cp:lastModifiedBy/>
  <dcterms:modified xsi:type="dcterms:W3CDTF">2026-10-15T11:02:00Z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