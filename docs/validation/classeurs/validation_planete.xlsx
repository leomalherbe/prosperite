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Validation" sheetId="2" state="visible" r:id="rId2"/>
    <sheet xmlns:r="http://schemas.openxmlformats.org/officeDocument/2006/relationships" name="Synthèse" sheetId="3" state="visible" r:id="rId3"/>
  </sheets>
  <definedNames>
    <definedName name="_xlnm._FilterDatabase" localSheetId="1" hidden="1">'Validation'!$A$1:$S$77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sz val="10"/>
    </font>
    <font>
      <name val="Arial"/>
      <b val="1"/>
      <sz val="10"/>
    </font>
    <font>
      <name val="Arial"/>
      <b val="1"/>
      <color rgb="00FFFFFF"/>
    </font>
    <font>
      <name val="Arial"/>
      <i val="1"/>
      <sz val="9"/>
    </font>
  </fonts>
  <fills count="5">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xf numFmtId="0" fontId="2" fillId="0" borderId="0" pivotButton="0" quotePrefix="0" xfId="0"/>
    <xf numFmtId="0" fontId="5" fillId="0" borderId="0" pivotButton="0" quotePrefix="0" xfId="0"/>
  </cellXfs>
  <cellStyles count="1">
    <cellStyle name="Normal" xfId="0" builtinId="0" hidden="0"/>
  </cellStyles>
  <dxfs count="1">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session mère</author>
  </authors>
  <commentList>
    <comment ref="R1" authorId="0" shapeId="0">
      <text>
        <t>À remplir seulement si vous divergez de la décision par défaut. Liste : retenu, retenu_socle, ecarte, a_discuter.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40" customWidth="1" min="1" max="1"/>
  </cols>
  <sheetData>
    <row r="1">
      <c r="A1" s="1" t="inlineStr">
        <is>
          <t>Gel 2 — validation des indicateurs de la dimension « Planète »</t>
        </is>
      </c>
    </row>
    <row r="2">
      <c r="A2" s="2" t="inlineStr"/>
    </row>
    <row r="3">
      <c r="A3" s="3" t="inlineStr">
        <is>
          <t>Comment remplir ce classeur (validation par exception, charte §3.6, décision D20)</t>
        </is>
      </c>
    </row>
    <row r="4">
      <c r="A4" s="2" t="inlineStr">
        <is>
          <t>1. Ouvrez l'onglet « Validation ». Chaque ligne est un indicateur candidat (une fiche YAML dans le dépôt), regroupé par famille ; la variante principale de chaque famille est en tête.</t>
        </is>
      </c>
    </row>
    <row r="5">
      <c r="A5" s="2" t="inlineStr">
        <is>
          <t>2. Les colonnes grises sont informatives. La colonne « Recommandation de l'agent » et son motif résument l'analyse ; la colonne « Décision par défaut » indique ce qui s'appliquera si vous ne remplissez rien.</t>
        </is>
      </c>
    </row>
    <row r="6">
      <c r="A6" s="2" t="inlineStr">
        <is>
          <t>3. Ne remplissez la colonne jaune « Votre décision » que là où vous divergez ou hésitez. Valeurs possibles (liste déroulante) :</t>
        </is>
      </c>
    </row>
    <row r="7">
      <c r="A7" s="2" t="inlineStr">
        <is>
          <t xml:space="preserve">     retenu = disponible dans l'outil, non coché par défaut ;</t>
        </is>
      </c>
    </row>
    <row r="8">
      <c r="A8" s="2" t="inlineStr">
        <is>
          <t xml:space="preserve">     retenu_socle = disponible ET coché par défaut dans la configuration de référence ;</t>
        </is>
      </c>
    </row>
    <row r="9">
      <c r="A9" s="2" t="inlineStr">
        <is>
          <t xml:space="preserve">     ecarte = non retenu (indiquez pourquoi dans le commentaire) ;</t>
        </is>
      </c>
    </row>
    <row r="10">
      <c r="A10" s="2" t="inlineStr">
        <is>
          <t xml:space="preserve">     a_discuter = vous voulez en parler avant de trancher (la session mère vous posera la question).</t>
        </is>
      </c>
    </row>
    <row r="11">
      <c r="A11" s="2" t="inlineStr">
        <is>
          <t>4. Le commentaire est libre ; il est lu et conservé dans la fiche.</t>
        </is>
      </c>
    </row>
    <row r="12">
      <c r="A12" s="2" t="inlineStr">
        <is>
          <t>5. Enregistrez le fichier au même endroit, sous le même nom : la session mère le relit automatiquement.</t>
        </is>
      </c>
    </row>
    <row r="13">
      <c r="A13" s="2" t="inlineStr"/>
    </row>
    <row r="14">
      <c r="A14" s="3" t="inlineStr">
        <is>
          <t>Rappels</t>
        </is>
      </c>
    </row>
    <row r="15">
      <c r="A15" s="2" t="inlineStr">
        <is>
          <t>— Une famille regroupe des variantes d'un même concept (autre seuil, autre source, ventilation) : en général une seule variante est cochée par défaut.</t>
        </is>
      </c>
    </row>
    <row r="16">
      <c r="A16" s="2" t="inlineStr">
        <is>
          <t>— « Incontournable » = présent dans au moins trois cadres de référence (Doughnut, Stiglitz-Sen-Fitoussi, OCDE, Eurostat, INSEE).</t>
        </is>
      </c>
    </row>
    <row r="17">
      <c r="A17" s="2" t="inlineStr">
        <is>
          <t>— « Déclaratif » = donnée d'enquête d'opinion ou de ressenti ; « Composite » = indice agrégé d'un producteur tiers (V-Dem, CPI…).</t>
        </is>
      </c>
    </row>
    <row r="18">
      <c r="A18" s="2" t="inlineStr">
        <is>
          <t>— Sens « ambigu » : l'agent n'a pas pu établir si plus haut est mieux ; ces lignes sont écartées par défaut.</t>
        </is>
      </c>
    </row>
    <row r="19">
      <c r="A19" s="2" t="inlineStr">
        <is>
          <t>— Les bornes (seuil minimal, objectif) ne sont pas traitées ici : elles viendront après le gel 2 (socle v1).</t>
        </is>
      </c>
    </row>
    <row r="20">
      <c r="A20" s="2" t="inlineStr"/>
    </row>
    <row r="21">
      <c r="A21" s="2" t="inlineStr">
        <is>
          <t>Exemple de ligne remplie : décision « ecarte », commentaire « doublon de la série INSEE équivalente ; garder la variante INSEE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8" customWidth="1" min="2" max="2"/>
    <col width="44" customWidth="1" min="3" max="3"/>
    <col width="11" customWidth="1" min="4" max="4"/>
    <col width="60" customWidth="1" min="5" max="5"/>
    <col width="8" customWidth="1" min="6" max="6"/>
    <col width="18" customWidth="1" min="7" max="7"/>
    <col width="36" customWidth="1" min="8" max="8"/>
    <col width="30" customWidth="1" min="9" max="9"/>
    <col width="22" customWidth="1" min="10" max="10"/>
    <col width="10" customWidth="1" min="11" max="11"/>
    <col width="10" customWidth="1" min="12" max="12"/>
    <col width="10" customWidth="1" min="13" max="13"/>
    <col width="13" customWidth="1" min="14" max="14"/>
    <col width="16" customWidth="1" min="15" max="15"/>
    <col width="70" customWidth="1" min="16" max="16"/>
    <col width="18" customWidth="1" min="17" max="17"/>
    <col width="20" customWidth="1" min="18" max="18"/>
    <col width="40" customWidth="1" min="19" max="19"/>
  </cols>
  <sheetData>
    <row r="1" ht="42" customHeight="1">
      <c r="A1" s="4" t="inlineStr">
        <is>
          <t>Famille</t>
        </is>
      </c>
      <c r="B1" s="4" t="inlineStr">
        <is>
          <t>Identifiant</t>
        </is>
      </c>
      <c r="C1" s="4" t="inlineStr">
        <is>
          <t>Libellé</t>
        </is>
      </c>
      <c r="D1" s="4" t="inlineStr">
        <is>
          <t>Variante principale</t>
        </is>
      </c>
      <c r="E1" s="4" t="inlineStr">
        <is>
          <t>Définition courte</t>
        </is>
      </c>
      <c r="F1" s="4" t="inlineStr">
        <is>
          <t>Sens</t>
        </is>
      </c>
      <c r="G1" s="4" t="inlineStr">
        <is>
          <t>Unité</t>
        </is>
      </c>
      <c r="H1" s="4" t="inlineStr">
        <is>
          <t>Source</t>
        </is>
      </c>
      <c r="I1" s="4" t="inlineStr">
        <is>
          <t>Série (identifiant)</t>
        </is>
      </c>
      <c r="J1" s="4" t="inlineStr">
        <is>
          <t>Période</t>
        </is>
      </c>
      <c r="K1" s="4" t="inlineStr">
        <is>
          <t>Type</t>
        </is>
      </c>
      <c r="L1" s="4" t="inlineStr">
        <is>
          <t>Déclaratif</t>
        </is>
      </c>
      <c r="M1" s="4" t="inlineStr">
        <is>
          <t>Composite</t>
        </is>
      </c>
      <c r="N1" s="4" t="inlineStr">
        <is>
          <t>Incontournable</t>
        </is>
      </c>
      <c r="O1" s="4" t="inlineStr">
        <is>
          <t>Recommandation de l'agent</t>
        </is>
      </c>
      <c r="P1" s="4" t="inlineStr">
        <is>
          <t>Motif de la recommandation</t>
        </is>
      </c>
      <c r="Q1" s="4" t="inlineStr">
        <is>
          <t>Décision par défaut (si vous ne remplissez rien)</t>
        </is>
      </c>
      <c r="R1" s="4" t="inlineStr">
        <is>
          <t>Votre décision (liste déroulante)</t>
        </is>
      </c>
      <c r="S1" s="4" t="inlineStr">
        <is>
          <t>Votre commentaire</t>
        </is>
      </c>
    </row>
    <row r="2" ht="60" customHeight="1">
      <c r="A2" s="5" t="inlineStr">
        <is>
          <t>aires_marines_protegees</t>
        </is>
      </c>
      <c r="B2" s="6" t="inlineStr">
        <is>
          <t>aires_marines_protegees</t>
        </is>
      </c>
      <c r="C2" s="5" t="inlineStr">
        <is>
          <t>Part des eaux sous juridiction en aires marines protégées</t>
        </is>
      </c>
      <c r="D2" s="5" t="inlineStr">
        <is>
          <t>oui</t>
        </is>
      </c>
      <c r="E2" s="5" t="inlineStr">
        <is>
          <t>Part de la zone économique exclusive française couverte par des aires marines protégées (How's Life, capital naturel, mesure 12_6).</t>
        </is>
      </c>
      <c r="F2" s="5" t="inlineStr">
        <is>
          <t>haut</t>
        </is>
      </c>
      <c r="G2" s="5" t="inlineStr">
        <is>
          <t>% de la zone économique exclusive</t>
        </is>
      </c>
      <c r="H2" s="5" t="inlineStr">
        <is>
          <t>OCDE — How's Life? (bien-être futur), mesure 12_6</t>
        </is>
      </c>
      <c r="I2" s="5" t="inlineStr">
        <is>
          <t>OECD.WISE.WDP,DSD_HSL@DF_HSL_FWB,1.1 MEASURE=12_6 UNIT_MEASURE=PT_EEZ</t>
        </is>
      </c>
      <c r="J2" s="5" t="inlineStr">
        <is>
          <t>2004-2024 (21 points, annuelle)</t>
        </is>
      </c>
      <c r="K2" s="5" t="inlineStr">
        <is>
          <t>moyen</t>
        </is>
      </c>
      <c r="L2" s="5" t="inlineStr">
        <is>
          <t>non</t>
        </is>
      </c>
      <c r="M2" s="5" t="inlineStr">
        <is>
          <t>non</t>
        </is>
      </c>
      <c r="N2" s="5" t="inlineStr">
        <is>
          <t>non</t>
        </is>
      </c>
      <c r="O2" s="5" t="inlineStr">
        <is>
          <t>retenir</t>
        </is>
      </c>
      <c r="P2" s="5" t="inlineStr">
        <is>
          <t>Moyen admis (D19) adossé à la cible de 30 % d'espaces protégés terrestres et maritimes (article L110-4), série OCDE de 2004 à 2024 (21 points), 33,91 % en 2024 d'après l'extrait du robot M04.</t>
        </is>
      </c>
      <c r="Q2" s="5" t="inlineStr">
        <is>
          <t>retenu</t>
        </is>
      </c>
      <c r="R2" s="7" t="inlineStr"/>
      <c r="S2" s="7" t="inlineStr"/>
    </row>
    <row r="3" ht="60" customHeight="1">
      <c r="A3" s="5" t="inlineStr">
        <is>
          <t>aires_protegees_terrestres</t>
        </is>
      </c>
      <c r="B3" s="6" t="inlineStr">
        <is>
          <t>aires_protegees_terrestres</t>
        </is>
      </c>
      <c r="C3" s="5" t="inlineStr">
        <is>
          <t>Part du territoire terrestre en aires protégées</t>
        </is>
      </c>
      <c r="D3" s="5" t="inlineStr">
        <is>
          <t>oui</t>
        </is>
      </c>
      <c r="E3" s="5" t="inlineStr">
        <is>
          <t>Part de la surface terrestre couverte par des aires protégées, France (base des indicateurs ODD de l'OCDE, indicateur 15.1.2).</t>
        </is>
      </c>
      <c r="F3" s="5" t="inlineStr">
        <is>
          <t>haut</t>
        </is>
      </c>
      <c r="G3" s="5" t="inlineStr">
        <is>
          <t>% de la surface terrestre</t>
        </is>
      </c>
      <c r="H3" s="5" t="inlineStr">
        <is>
          <t>OCDE (base des indicateurs ODD) — Indicateurs ODD de l'OCDE, objectif 15, aires protégées en part de la surface terrestre</t>
        </is>
      </c>
      <c r="I3" s="5" t="inlineStr">
        <is>
          <t>odd_15 : 15_1_2_OECD._T._T._T._T._T.PT_LAR</t>
        </is>
      </c>
      <c r="J3" s="5" t="inlineStr">
        <is>
          <t>2000-2024 (25 points, annuelle)</t>
        </is>
      </c>
      <c r="K3" s="5" t="inlineStr">
        <is>
          <t>moyen</t>
        </is>
      </c>
      <c r="L3" s="5" t="inlineStr">
        <is>
          <t>non</t>
        </is>
      </c>
      <c r="M3" s="5" t="inlineStr">
        <is>
          <t>non</t>
        </is>
      </c>
      <c r="N3" s="5" t="inlineStr">
        <is>
          <t>non</t>
        </is>
      </c>
      <c r="O3" s="5" t="inlineStr">
        <is>
          <t>retenir</t>
        </is>
      </c>
      <c r="P3" s="5" t="inlineStr">
        <is>
          <t>Moyen admis (D19) adossé à la cible légale de 30 % d'aires protégées (article L110-4 du code de l'environnement), série OCDE de 2000 à 2024 (25 points), 31,84 % en 2024 d'après l'extrait du robot M04.</t>
        </is>
      </c>
      <c r="Q3" s="5" t="inlineStr">
        <is>
          <t>retenu</t>
        </is>
      </c>
      <c r="R3" s="7" t="inlineStr"/>
      <c r="S3" s="7" t="inlineStr"/>
    </row>
    <row r="4" ht="60" customHeight="1">
      <c r="A4" s="5" t="inlineStr">
        <is>
          <t>aires_protegees_terrestres</t>
        </is>
      </c>
      <c r="B4" s="5" t="inlineStr">
        <is>
          <t>aires_protection_forte_terrestres</t>
        </is>
      </c>
      <c r="C4" s="5" t="inlineStr">
        <is>
          <t>Part du territoire terrestre en protection forte</t>
        </is>
      </c>
      <c r="D4" s="5" t="inlineStr">
        <is>
          <t>non</t>
        </is>
      </c>
      <c r="E4" s="5" t="inlineStr">
        <is>
          <t>Part des terres françaises (France entière) classées en aires terrestres sous protection forte (indicateur national ODD 15.i5b).</t>
        </is>
      </c>
      <c r="F4" s="5" t="inlineStr">
        <is>
          <t>haut</t>
        </is>
      </c>
      <c r="G4" s="5" t="inlineStr">
        <is>
          <t>% des terres</t>
        </is>
      </c>
      <c r="H4" s="5" t="inlineStr">
        <is>
          <t>INSEE (indicateurs ODD nationaux) — ODD 15.i5b (BDM 010761992)</t>
        </is>
      </c>
      <c r="I4" s="5" t="inlineStr">
        <is>
          <t>010761992</t>
        </is>
      </c>
      <c r="J4" s="5" t="inlineStr">
        <is>
          <t>2012-2024 (13 points, annuelle)</t>
        </is>
      </c>
      <c r="K4" s="5" t="inlineStr">
        <is>
          <t>moyen</t>
        </is>
      </c>
      <c r="L4" s="5" t="inlineStr">
        <is>
          <t>non</t>
        </is>
      </c>
      <c r="M4" s="5" t="inlineStr">
        <is>
          <t>non</t>
        </is>
      </c>
      <c r="N4" s="5" t="inlineStr">
        <is>
          <t>non</t>
        </is>
      </c>
      <c r="O4" s="5" t="inlineStr">
        <is>
          <t>retenir_variante</t>
        </is>
      </c>
      <c r="P4" s="5" t="inlineStr">
        <is>
          <t>Autre lecture de la famille aires_protegees_terrestres, adossée à la cible légale de 10 % de protection forte, série INSEE de 2012 à 2024 (13 points) en France entière.</t>
        </is>
      </c>
      <c r="Q4" s="5" t="inlineStr">
        <is>
          <t>retenu</t>
        </is>
      </c>
      <c r="R4" s="7" t="inlineStr"/>
      <c r="S4" s="7" t="inlineStr"/>
    </row>
    <row r="5" ht="60" customHeight="1">
      <c r="A5" s="5" t="inlineStr">
        <is>
          <t>captures_peche</t>
        </is>
      </c>
      <c r="B5" s="6" t="inlineStr">
        <is>
          <t>captures_peche</t>
        </is>
      </c>
      <c r="C5" s="5" t="inlineStr">
        <is>
          <t>Captures de pêche de la flotte française</t>
        </is>
      </c>
      <c r="D5" s="5" t="inlineStr">
        <is>
          <t>oui</t>
        </is>
      </c>
      <c r="E5" s="5" t="inlineStr">
        <is>
          <t>Captures totales d'organismes aquatiques par la flotte française dans les principales zones de pêche, en tonnes de poids vif.</t>
        </is>
      </c>
      <c r="F5" s="5" t="inlineStr">
        <is>
          <t>ambigu</t>
        </is>
      </c>
      <c r="G5" s="5" t="inlineStr">
        <is>
          <t>tonnes de poids vif</t>
        </is>
      </c>
      <c r="H5" s="5" t="inlineStr">
        <is>
          <t>Eurostat — fish_ca_main (captures, principales zones de pêche)</t>
        </is>
      </c>
      <c r="I5" s="5" t="inlineStr">
        <is>
          <t>fish_ca_main?freq=A&amp;species=F00&amp;fishreg=0&amp;unit=TLW&amp;geo=FR</t>
        </is>
      </c>
      <c r="J5" s="5" t="inlineStr">
        <is>
          <t>2000-2025 (26 points, annuelle)</t>
        </is>
      </c>
      <c r="K5" s="5" t="inlineStr">
        <is>
          <t>pression</t>
        </is>
      </c>
      <c r="L5" s="5" t="inlineStr">
        <is>
          <t>non</t>
        </is>
      </c>
      <c r="M5" s="5" t="inlineStr">
        <is>
          <t>non</t>
        </is>
      </c>
      <c r="N5" s="5" t="inlineStr">
        <is>
          <t>non</t>
        </is>
      </c>
      <c r="O5" s="5" t="inlineStr">
        <is>
          <t>ecarter</t>
        </is>
      </c>
      <c r="P5" s="5" t="inlineStr">
        <is>
          <t>Sens ambigu : une baisse des captures (691 942 t en 2000, 442 800 t en 2025) peut traduire une pression moindre comme l'épuisement des stocks, que la série ne mesure pas.</t>
        </is>
      </c>
      <c r="Q5" s="5" t="inlineStr">
        <is>
          <t>ecarte</t>
        </is>
      </c>
      <c r="R5" s="7" t="inlineStr"/>
      <c r="S5" s="7" t="inlineStr"/>
    </row>
    <row r="6" ht="60" customHeight="1">
      <c r="A6" s="5" t="inlineStr">
        <is>
          <t>chaleur_extreme</t>
        </is>
      </c>
      <c r="B6" s="6" t="inlineStr">
        <is>
          <t>jours_canicule</t>
        </is>
      </c>
      <c r="C6" s="5" t="inlineStr">
        <is>
          <t>Nombre de jours-départements en canicule</t>
        </is>
      </c>
      <c r="D6" s="5" t="inlineStr">
        <is>
          <t>oui</t>
        </is>
      </c>
      <c r="E6" s="5" t="inlineStr">
        <is>
          <t>Somme, sur l'année, du nombre de jours en situation de canicule de chacun des 96 départements de métropole (variable nb_jdep_can de Santé publique France ; définition des seuils : système d'alerte canicule et santé, à …</t>
        </is>
      </c>
      <c r="F6" s="5" t="inlineStr">
        <is>
          <t>bas</t>
        </is>
      </c>
      <c r="G6" s="5" t="inlineStr">
        <is>
          <t>jours-départements</t>
        </is>
      </c>
      <c r="H6" s="5" t="inlineStr">
        <is>
          <t>Santé publique France (Odissé) — canicules-nombres-de-jours-de-canicule-france (champ nb_jdep_can)</t>
        </is>
      </c>
      <c r="I6" s="5" t="inlineStr">
        <is>
          <t>https://odisse.santepubliquefrance.fr/api/explore/v2.1/catalog/datasets/canicules-nombres-de-jours-de-canicule-france (nb_jdep_can)</t>
        </is>
      </c>
      <c r="J6" s="5" t="inlineStr">
        <is>
          <t>2004-2025 (22 points, annuelle)</t>
        </is>
      </c>
      <c r="K6" s="5" t="inlineStr">
        <is>
          <t>resultat</t>
        </is>
      </c>
      <c r="L6" s="5" t="inlineStr">
        <is>
          <t>non</t>
        </is>
      </c>
      <c r="M6" s="5" t="inlineStr">
        <is>
          <t>non</t>
        </is>
      </c>
      <c r="N6" s="5" t="inlineStr">
        <is>
          <t>non</t>
        </is>
      </c>
      <c r="O6" s="5" t="inlineStr">
        <is>
          <t>retenir</t>
        </is>
      </c>
      <c r="P6" s="5" t="inlineStr">
        <is>
          <t>Seule série nationale annuelle de l'exposition aux vagues de chaleur (A14), de 2004 à 2025 (22 points), avec 517 jours-départements en 2025 d'après l'export vérifié par le robot M04.</t>
        </is>
      </c>
      <c r="Q6" s="5" t="inlineStr">
        <is>
          <t>retenu</t>
        </is>
      </c>
      <c r="R6" s="7" t="inlineStr"/>
      <c r="S6" s="7" t="inlineStr"/>
    </row>
    <row r="7" ht="60" customHeight="1">
      <c r="A7" s="5" t="inlineStr">
        <is>
          <t>chaleur_extreme</t>
        </is>
      </c>
      <c r="B7" s="5" t="inlineStr">
        <is>
          <t>exposition_chaleur_extreme</t>
        </is>
      </c>
      <c r="C7" s="5" t="inlineStr">
        <is>
          <t>Part de la population exposée à des températures extrêmes</t>
        </is>
      </c>
      <c r="D7" s="5" t="inlineStr">
        <is>
          <t>non</t>
        </is>
      </c>
      <c r="E7" s="5" t="inlineStr">
        <is>
          <t>Part de la population exposée à des températures extrêmes, estimée par l'OCDE à partir de données géospatiales (How's Life, mesure 9_3 ; seuil de température et période de référence : non trouvés).</t>
        </is>
      </c>
      <c r="F7" s="5" t="inlineStr">
        <is>
          <t>bas</t>
        </is>
      </c>
      <c r="G7" s="5" t="inlineStr">
        <is>
          <t>% de la population</t>
        </is>
      </c>
      <c r="H7" s="5" t="inlineStr">
        <is>
          <t>OCDE — How's Life? (bien-être actuel), mesure 9_3</t>
        </is>
      </c>
      <c r="I7" s="5" t="inlineStr">
        <is>
          <t>OECD.WISE.WDP,DSD_HSL@DF_HSL_CWB,1.1 MEASURE=9_3 UNIT_MEASURE=PT_POP</t>
        </is>
      </c>
      <c r="J7" s="5" t="inlineStr">
        <is>
          <t>2004-2024 (21 points, annuelle)</t>
        </is>
      </c>
      <c r="K7" s="5" t="inlineStr">
        <is>
          <t>resultat</t>
        </is>
      </c>
      <c r="L7" s="5" t="inlineStr">
        <is>
          <t>non</t>
        </is>
      </c>
      <c r="M7" s="5" t="inlineStr">
        <is>
          <t>non</t>
        </is>
      </c>
      <c r="N7" s="5" t="inlineStr">
        <is>
          <t>non</t>
        </is>
      </c>
      <c r="O7" s="5" t="inlineStr">
        <is>
          <t>retenir_variante</t>
        </is>
      </c>
      <c r="P7" s="5" t="inlineStr">
        <is>
          <t>Autre lecture de la famille chaleur_extreme (part de la population plutôt que nombre de jours), série OCDE annuelle de 2004 à 2024 (21 points), 1,03 % en 2024 d'après l'extrait du robot M04.</t>
        </is>
      </c>
      <c r="Q7" s="5" t="inlineStr">
        <is>
          <t>retenu</t>
        </is>
      </c>
      <c r="R7" s="7" t="inlineStr"/>
      <c r="S7" s="7" t="inlineStr"/>
    </row>
    <row r="8" ht="60" customHeight="1">
      <c r="A8" s="5" t="inlineStr">
        <is>
          <t>communes_catnat_inondation</t>
        </is>
      </c>
      <c r="B8" s="6" t="inlineStr">
        <is>
          <t>communes_catnat_inondation</t>
        </is>
      </c>
      <c r="C8" s="5" t="inlineStr">
        <is>
          <t>Part des communes reconnues en état de catastrophe naturelle pour inondation</t>
        </is>
      </c>
      <c r="D8" s="5" t="inlineStr">
        <is>
          <t>oui</t>
        </is>
      </c>
      <c r="E8" s="5" t="inlineStr">
        <is>
          <t>Proportion des communes ayant fait l'objet, dans l'année, d'au moins un arrêté de reconnaissance de l'état de catastrophe naturelle pour inondation (indicateurs territoriaux de développement durable du SDES et de …</t>
        </is>
      </c>
      <c r="F8" s="5" t="inlineStr">
        <is>
          <t>bas</t>
        </is>
      </c>
      <c r="G8" s="5" t="inlineStr">
        <is>
          <t>% des communes</t>
        </is>
      </c>
      <c r="H8" s="5" t="inlineStr">
        <is>
          <t>SDES-INSEE — Indicateurs territoriaux de développement durable, fichier France entière (DiDo), variable prop_com_catnat, modalité inondation</t>
        </is>
      </c>
      <c r="I8" s="5" t="inlineStr">
        <is>
          <t>DiDo SDES rid 305ea0e3-269b-47ee-bab5-7553fec6f010 (variable prop_com_catnat.ino)</t>
        </is>
      </c>
      <c r="J8" s="5" t="inlineStr">
        <is>
          <t>1991-2024 (25 points, annuelle)</t>
        </is>
      </c>
      <c r="K8" s="5" t="inlineStr">
        <is>
          <t>resultat</t>
        </is>
      </c>
      <c r="L8" s="5" t="inlineStr">
        <is>
          <t>non</t>
        </is>
      </c>
      <c r="M8" s="5" t="inlineStr">
        <is>
          <t>non</t>
        </is>
      </c>
      <c r="N8" s="5" t="inlineStr">
        <is>
          <t>non</t>
        </is>
      </c>
      <c r="O8" s="5" t="inlineStr">
        <is>
          <t>retenir</t>
        </is>
      </c>
      <c r="P8" s="5" t="inlineStr">
        <is>
          <t>Mesure annuelle la plus longue de l'aléa d'inondation subi (A14), de 1991 à 2024 (25 points depuis 2000), avec 4,86 % des communes touchées en 2024 d'après l'extrait du robot M04.</t>
        </is>
      </c>
      <c r="Q8" s="5" t="inlineStr">
        <is>
          <t>retenu</t>
        </is>
      </c>
      <c r="R8" s="7" t="inlineStr"/>
      <c r="S8" s="7" t="inlineStr"/>
    </row>
    <row r="9" ht="60" customHeight="1">
      <c r="A9" s="5" t="inlineStr">
        <is>
          <t>communes_catnat_secheresse</t>
        </is>
      </c>
      <c r="B9" s="6" t="inlineStr">
        <is>
          <t>communes_catnat_secheresse</t>
        </is>
      </c>
      <c r="C9" s="5" t="inlineStr">
        <is>
          <t>Part des communes reconnues en état de catastrophe naturelle pour sécheresse</t>
        </is>
      </c>
      <c r="D9" s="5" t="inlineStr">
        <is>
          <t>oui</t>
        </is>
      </c>
      <c r="E9" s="5" t="inlineStr">
        <is>
          <t>Proportion des communes ayant fait l'objet, dans l'année, d'au moins un arrêté de reconnaissance de l'état de catastrophe naturelle pour sécheresse (mouvements de terrain dus au retrait-gonflement des argiles), d'après …</t>
        </is>
      </c>
      <c r="F9" s="5" t="inlineStr">
        <is>
          <t>bas</t>
        </is>
      </c>
      <c r="G9" s="5" t="inlineStr">
        <is>
          <t>% des communes</t>
        </is>
      </c>
      <c r="H9" s="5" t="inlineStr">
        <is>
          <t>SDES-INSEE — Indicateurs territoriaux de développement durable, fichier France entière (DiDo), variable prop_com_catnat, modalité sécheresse</t>
        </is>
      </c>
      <c r="I9" s="5" t="inlineStr">
        <is>
          <t>DiDo SDES rid 305ea0e3-269b-47ee-bab5-7553fec6f010 (variable prop_com_catnat.sec)</t>
        </is>
      </c>
      <c r="J9" s="5" t="inlineStr">
        <is>
          <t>1991-2024 (25 points, annuelle)</t>
        </is>
      </c>
      <c r="K9" s="5" t="inlineStr">
        <is>
          <t>resultat</t>
        </is>
      </c>
      <c r="L9" s="5" t="inlineStr">
        <is>
          <t>non</t>
        </is>
      </c>
      <c r="M9" s="5" t="inlineStr">
        <is>
          <t>non</t>
        </is>
      </c>
      <c r="N9" s="5" t="inlineStr">
        <is>
          <t>non</t>
        </is>
      </c>
      <c r="O9" s="5" t="inlineStr">
        <is>
          <t>retenir</t>
        </is>
      </c>
      <c r="P9" s="5" t="inlineStr">
        <is>
          <t>Seule mesure annuelle longue des dommages de sécheresse au bâti (A14), de 1991 à 2024, avec 5,99 % des communes touchées en 2024 d'après l'extrait du robot M04.</t>
        </is>
      </c>
      <c r="Q9" s="5" t="inlineStr">
        <is>
          <t>retenu</t>
        </is>
      </c>
      <c r="R9" s="7" t="inlineStr"/>
      <c r="S9" s="7" t="inlineStr"/>
    </row>
    <row r="10" ht="60" customHeight="1">
      <c r="A10" s="5" t="inlineStr">
        <is>
          <t>communes_ppr</t>
        </is>
      </c>
      <c r="B10" s="6" t="inlineStr">
        <is>
          <t>communes_ppr</t>
        </is>
      </c>
      <c r="C10" s="5" t="inlineStr">
        <is>
          <t>Communes couvertes par un plan de prévention des risques naturels approuvé</t>
        </is>
      </c>
      <c r="D10" s="5" t="inlineStr">
        <is>
          <t>oui</t>
        </is>
      </c>
      <c r="E10" s="5" t="inlineStr">
        <is>
          <t>Nombre de communes faisant l'objet d'un plan de prévention des risques naturels approuvé, y compris révisé et approuvé (indicateur national ODD 13.i2).</t>
        </is>
      </c>
      <c r="F10" s="5" t="inlineStr">
        <is>
          <t>ambigu</t>
        </is>
      </c>
      <c r="G10" s="5" t="inlineStr">
        <is>
          <t>nombre de communes</t>
        </is>
      </c>
      <c r="H10" s="5" t="inlineStr">
        <is>
          <t>INSEE (indicateurs ODD nationaux) — ODD 13.i2 (BDM 010595980)</t>
        </is>
      </c>
      <c r="I10" s="5" t="inlineStr">
        <is>
          <t>010595980</t>
        </is>
      </c>
      <c r="J10" s="5" t="inlineStr">
        <is>
          <t>2013-2025 (13 points, annuelle)</t>
        </is>
      </c>
      <c r="K10" s="5" t="inlineStr">
        <is>
          <t>moyen</t>
        </is>
      </c>
      <c r="L10" s="5" t="inlineStr">
        <is>
          <t>non</t>
        </is>
      </c>
      <c r="M10" s="5" t="inlineStr">
        <is>
          <t>non</t>
        </is>
      </c>
      <c r="N10" s="5" t="inlineStr">
        <is>
          <t>non</t>
        </is>
      </c>
      <c r="O10" s="5" t="inlineStr">
        <is>
          <t>ecarter</t>
        </is>
      </c>
      <c r="P10" s="5" t="inlineStr">
        <is>
          <t>Sens ambigu : une hausse du nombre de communes couvertes traduit à la fois un effort de prévention et l'extension des risques reconnus, sur une série de 2013 à 2025.</t>
        </is>
      </c>
      <c r="Q10" s="5" t="inlineStr">
        <is>
          <t>ecarte</t>
        </is>
      </c>
      <c r="R10" s="7" t="inlineStr"/>
      <c r="S10" s="7" t="inlineStr"/>
    </row>
    <row r="11" ht="60" customHeight="1">
      <c r="A11" s="5" t="inlineStr">
        <is>
          <t>consommation_energie_finale</t>
        </is>
      </c>
      <c r="B11" s="6" t="inlineStr">
        <is>
          <t>consommation_energie_finale</t>
        </is>
      </c>
      <c r="C11" s="5" t="inlineStr">
        <is>
          <t>Consommation finale d'énergie</t>
        </is>
      </c>
      <c r="D11" s="5" t="inlineStr">
        <is>
          <t>oui</t>
        </is>
      </c>
      <c r="E11" s="5" t="inlineStr">
        <is>
          <t>Énergie consommée par les utilisateurs finals (ménages, industrie, transports, tertiaire, agriculture), hors usages non énergétiques et hors branche énergie, selon la définition de la directive européenne relative à …</t>
        </is>
      </c>
      <c r="F11" s="5" t="inlineStr">
        <is>
          <t>bas</t>
        </is>
      </c>
      <c r="G11" s="5" t="inlineStr">
        <is>
          <t>millions de tonnes équivalent pétrole</t>
        </is>
      </c>
      <c r="H11" s="5" t="inlineStr">
        <is>
          <t>Eurostat — nrg_ind_eff (consommation d'énergie primaire et finale)</t>
        </is>
      </c>
      <c r="I11" s="5" t="inlineStr">
        <is>
          <t>nrg_ind_eff?freq=A&amp;nrg_bal=FEC_EED&amp;unit=MTOE&amp;geo=FR</t>
        </is>
      </c>
      <c r="J11" s="5" t="inlineStr">
        <is>
          <t>2005-2024 (20 points, annuelle)</t>
        </is>
      </c>
      <c r="K11" s="5" t="inlineStr">
        <is>
          <t>pression</t>
        </is>
      </c>
      <c r="L11" s="5" t="inlineStr">
        <is>
          <t>non</t>
        </is>
      </c>
      <c r="M11" s="5" t="inlineStr">
        <is>
          <t>non</t>
        </is>
      </c>
      <c r="N11" s="5" t="inlineStr">
        <is>
          <t>non</t>
        </is>
      </c>
      <c r="O11" s="5" t="inlineStr">
        <is>
          <t>retenir</t>
        </is>
      </c>
      <c r="P11" s="5" t="inlineStr">
        <is>
          <t>Grandeur visée par l'objectif de baisse de l'article L100-4 du code de l'énergie (base 2012) et par la directive relative à l'efficacité énergétique, série Eurostat sans drapeau de 2005 à 2024 (150,92 Mtep en 2012, 130,72 Mtep en 2024).</t>
        </is>
      </c>
      <c r="Q11" s="5" t="inlineStr">
        <is>
          <t>retenu</t>
        </is>
      </c>
      <c r="R11" s="7" t="inlineStr"/>
      <c r="S11" s="7" t="inlineStr"/>
    </row>
    <row r="12" ht="60" customHeight="1">
      <c r="A12" s="5" t="inlineStr">
        <is>
          <t>consommation_energie_primaire</t>
        </is>
      </c>
      <c r="B12" s="6" t="inlineStr">
        <is>
          <t>consommation_energie_primaire</t>
        </is>
      </c>
      <c r="C12" s="5" t="inlineStr">
        <is>
          <t>Consommation d'énergie primaire</t>
        </is>
      </c>
      <c r="D12" s="5" t="inlineStr">
        <is>
          <t>oui</t>
        </is>
      </c>
      <c r="E12" s="5" t="inlineStr">
        <is>
          <t>Énergie primaire consommée (consommation intérieure brute hors usages non énergétiques), pertes de transformation et de transport comprises, selon la définition de la directive européenne relative à l'efficacité …</t>
        </is>
      </c>
      <c r="F12" s="5" t="inlineStr">
        <is>
          <t>bas</t>
        </is>
      </c>
      <c r="G12" s="5" t="inlineStr">
        <is>
          <t>millions de tonnes équivalent pétrole</t>
        </is>
      </c>
      <c r="H12" s="5" t="inlineStr">
        <is>
          <t>Eurostat — nrg_ind_eff (consommation d'énergie primaire et finale)</t>
        </is>
      </c>
      <c r="I12" s="5" t="inlineStr">
        <is>
          <t>nrg_ind_eff?freq=A&amp;nrg_bal=PEC_EED&amp;unit=MTOE&amp;geo=FR</t>
        </is>
      </c>
      <c r="J12" s="5" t="inlineStr">
        <is>
          <t>2005-2024 (20 points, annuelle)</t>
        </is>
      </c>
      <c r="K12" s="5" t="inlineStr">
        <is>
          <t>pression</t>
        </is>
      </c>
      <c r="L12" s="5" t="inlineStr">
        <is>
          <t>non</t>
        </is>
      </c>
      <c r="M12" s="5" t="inlineStr">
        <is>
          <t>non</t>
        </is>
      </c>
      <c r="N12" s="5" t="inlineStr">
        <is>
          <t>non</t>
        </is>
      </c>
      <c r="O12" s="5" t="inlineStr">
        <is>
          <t>retenir</t>
        </is>
      </c>
      <c r="P12" s="5" t="inlineStr">
        <is>
          <t>Concept distinct de la consommation finale (méthode §8), qui inclut les pertes de production d'électricité, série Eurostat sans drapeau de 2005 à 2024 (260,87 Mtep en 2005, 202,62 Mtep en 2024).</t>
        </is>
      </c>
      <c r="Q12" s="5" t="inlineStr">
        <is>
          <t>retenu</t>
        </is>
      </c>
      <c r="R12" s="7" t="inlineStr"/>
      <c r="S12" s="7" t="inlineStr"/>
    </row>
    <row r="13" ht="60" customHeight="1">
      <c r="A13" s="5" t="inlineStr">
        <is>
          <t>consommation_interieure_matieres</t>
        </is>
      </c>
      <c r="B13" s="6" t="inlineStr">
        <is>
          <t>consommation_interieure_matieres</t>
        </is>
      </c>
      <c r="C13" s="5" t="inlineStr">
        <is>
          <t>Consommation intérieure de matières par habitant</t>
        </is>
      </c>
      <c r="D13" s="5" t="inlineStr">
        <is>
          <t>oui</t>
        </is>
      </c>
      <c r="E13" s="5" t="inlineStr">
        <is>
          <t>Matières extraites sur le territoire plus importations moins exportations, en poids physique, en tonnes par habitant (comptes de flux de matières).</t>
        </is>
      </c>
      <c r="F13" s="5" t="inlineStr">
        <is>
          <t>bas</t>
        </is>
      </c>
      <c r="G13" s="5" t="inlineStr">
        <is>
          <t>tonnes par habitant</t>
        </is>
      </c>
      <c r="H13" s="5" t="inlineStr">
        <is>
          <t>Eurostat — env_ac_mfa (comptes de flux de matières)</t>
        </is>
      </c>
      <c r="I13" s="5" t="inlineStr">
        <is>
          <t>env_ac_mfa?freq=A&amp;indic_env=DMC&amp;material=TOTAL&amp;unit=T_HAB&amp;geo=FR</t>
        </is>
      </c>
      <c r="J13" s="5" t="inlineStr">
        <is>
          <t>2000-2025 (26 points, annuelle)</t>
        </is>
      </c>
      <c r="K13" s="5" t="inlineStr">
        <is>
          <t>pression</t>
        </is>
      </c>
      <c r="L13" s="5" t="inlineStr">
        <is>
          <t>non</t>
        </is>
      </c>
      <c r="M13" s="5" t="inlineStr">
        <is>
          <t>non</t>
        </is>
      </c>
      <c r="N13" s="5" t="inlineStr">
        <is>
          <t>non</t>
        </is>
      </c>
      <c r="O13" s="5" t="inlineStr">
        <is>
          <t>retenir</t>
        </is>
      </c>
      <c r="P13" s="5" t="inlineStr">
        <is>
          <t>Indicateur territorial des flux de matières, série Eurostat de 2000 à 2025 (14,6 t par habitant en 2000, 10,6 t en 2025 imputée), avec des ruptures en 2000, 2004 et 2009.</t>
        </is>
      </c>
      <c r="Q13" s="5" t="inlineStr">
        <is>
          <t>retenu</t>
        </is>
      </c>
      <c r="R13" s="7" t="inlineStr"/>
      <c r="S13" s="7" t="inlineStr"/>
    </row>
    <row r="14" ht="60" customHeight="1">
      <c r="A14" s="5" t="inlineStr">
        <is>
          <t>dechets_municipaux_par_habitant</t>
        </is>
      </c>
      <c r="B14" s="6" t="inlineStr">
        <is>
          <t>dechets_municipaux_par_habitant</t>
        </is>
      </c>
      <c r="C14" s="5" t="inlineStr">
        <is>
          <t>Déchets municipaux produits par habitant</t>
        </is>
      </c>
      <c r="D14" s="5" t="inlineStr">
        <is>
          <t>oui</t>
        </is>
      </c>
      <c r="E14" s="5" t="inlineStr">
        <is>
          <t>Quantité de déchets municipaux (déchets des ménages et déchets assimilés collectés par le service public) produite dans l'année, en kilogrammes par habitant.</t>
        </is>
      </c>
      <c r="F14" s="5" t="inlineStr">
        <is>
          <t>bas</t>
        </is>
      </c>
      <c r="G14" s="5" t="inlineStr">
        <is>
          <t>kg par habitant</t>
        </is>
      </c>
      <c r="H14" s="5" t="inlineStr">
        <is>
          <t>Eurostat — env_wasmun (déchets municipaux par opérations de gestion)</t>
        </is>
      </c>
      <c r="I14" s="5" t="inlineStr">
        <is>
          <t>env_wasmun?freq=A&amp;wst_oper=GEN&amp;unit=KG_HAB&amp;geo=FR</t>
        </is>
      </c>
      <c r="J14" s="5" t="inlineStr">
        <is>
          <t>2000-2024 (25 points, annuelle)</t>
        </is>
      </c>
      <c r="K14" s="5" t="inlineStr">
        <is>
          <t>pression</t>
        </is>
      </c>
      <c r="L14" s="5" t="inlineStr">
        <is>
          <t>non</t>
        </is>
      </c>
      <c r="M14" s="5" t="inlineStr">
        <is>
          <t>non</t>
        </is>
      </c>
      <c r="N14" s="5" t="inlineStr">
        <is>
          <t>non</t>
        </is>
      </c>
      <c r="O14" s="5" t="inlineStr">
        <is>
          <t>retenir</t>
        </is>
      </c>
      <c r="P14" s="5" t="inlineStr">
        <is>
          <t>Pression visée par l'objectif de réduction des déchets ménagers et assimilés de la loi AGEC, série Eurostat de 2000 à 2024 (514 kg en 2000, 530 kg en 2024) dont la plupart des valeurs récentes sont estimées.</t>
        </is>
      </c>
      <c r="Q14" s="5" t="inlineStr">
        <is>
          <t>retenu</t>
        </is>
      </c>
      <c r="R14" s="7" t="inlineStr"/>
      <c r="S14" s="7" t="inlineStr"/>
    </row>
    <row r="15" ht="60" customHeight="1">
      <c r="A15" s="5" t="inlineStr">
        <is>
          <t>diversite_cultures_arables</t>
        </is>
      </c>
      <c r="B15" s="6" t="inlineStr">
        <is>
          <t>diversite_cultures_arables</t>
        </is>
      </c>
      <c r="C15" s="5" t="inlineStr">
        <is>
          <t>Diversité des cultures arables (indice de Simpson)</t>
        </is>
      </c>
      <c r="D15" s="5" t="inlineStr">
        <is>
          <t>oui</t>
        </is>
      </c>
      <c r="E15" s="5" t="inlineStr">
        <is>
          <t>Indice de Simpson de diversité des cultures sur les terres arables, moyenne nationale (indicateur national ODD 2.i3) ; plus il est élevé, plus les assolements sont diversifiés.</t>
        </is>
      </c>
      <c r="F15" s="5" t="inlineStr">
        <is>
          <t>haut</t>
        </is>
      </c>
      <c r="G15" s="5" t="inlineStr">
        <is>
          <t>indice de Simpson</t>
        </is>
      </c>
      <c r="H15" s="5" t="inlineStr">
        <is>
          <t>INSEE (indicateurs ODD nationaux) — ODD 2.i3 (BDM 010594422)</t>
        </is>
      </c>
      <c r="I15" s="5" t="inlineStr">
        <is>
          <t>010594422</t>
        </is>
      </c>
      <c r="J15" s="5" t="inlineStr">
        <is>
          <t>2010-2024 (15 points, annuelle)</t>
        </is>
      </c>
      <c r="K15" s="5" t="inlineStr">
        <is>
          <t>resultat</t>
        </is>
      </c>
      <c r="L15" s="5" t="inlineStr">
        <is>
          <t>non</t>
        </is>
      </c>
      <c r="M15" s="5" t="inlineStr">
        <is>
          <t>non</t>
        </is>
      </c>
      <c r="N15" s="5" t="inlineStr">
        <is>
          <t>non</t>
        </is>
      </c>
      <c r="O15" s="5" t="inlineStr">
        <is>
          <t>retenir</t>
        </is>
      </c>
      <c r="P15" s="5" t="inlineStr">
        <is>
          <t>Seul indicateur de diversité des paysages agricoles au catalogue, indicateur national ODD 2.i3 publié chaque année de 2010 à 2024 (15 points).</t>
        </is>
      </c>
      <c r="Q15" s="5" t="inlineStr">
        <is>
          <t>retenu</t>
        </is>
      </c>
      <c r="R15" s="7" t="inlineStr"/>
      <c r="S15" s="7" t="inlineStr"/>
    </row>
    <row r="16" ht="60" customHeight="1">
      <c r="A16" s="5" t="inlineStr">
        <is>
          <t>eaux_baignade_excellentes</t>
        </is>
      </c>
      <c r="B16" s="6" t="inlineStr">
        <is>
          <t>eaux_baignade_excellentes</t>
        </is>
      </c>
      <c r="C16" s="5" t="inlineStr">
        <is>
          <t>Part des eaux de baignade côtières d'excellente qualité</t>
        </is>
      </c>
      <c r="D16" s="5" t="inlineStr">
        <is>
          <t>oui</t>
        </is>
      </c>
      <c r="E16" s="5" t="inlineStr">
        <is>
          <t>Part des sites de baignade en eaux côtières classés d'excellente qualité au titre de la directive européenne sur les eaux de baignade (indicateur ODD de l'UE).</t>
        </is>
      </c>
      <c r="F16" s="5" t="inlineStr">
        <is>
          <t>haut</t>
        </is>
      </c>
      <c r="G16" s="5" t="inlineStr">
        <is>
          <t>% des sites côtiers</t>
        </is>
      </c>
      <c r="H16" s="5" t="inlineStr">
        <is>
          <t>Eurostat — sdg_14_40 (eaux de baignade d'excellente qualité par emplacement)</t>
        </is>
      </c>
      <c r="I16" s="5" t="inlineStr">
        <is>
          <t>sdg_14_40?freq=A&amp;unit=PC&amp;aquaenv=CST_EXC&amp;geo=FR</t>
        </is>
      </c>
      <c r="J16" s="5" t="inlineStr">
        <is>
          <t>2011-2025 (15 points, annuelle)</t>
        </is>
      </c>
      <c r="K16" s="5" t="inlineStr">
        <is>
          <t>resultat</t>
        </is>
      </c>
      <c r="L16" s="5" t="inlineStr">
        <is>
          <t>non</t>
        </is>
      </c>
      <c r="M16" s="5" t="inlineStr">
        <is>
          <t>non</t>
        </is>
      </c>
      <c r="N16" s="5" t="inlineStr">
        <is>
          <t>non</t>
        </is>
      </c>
      <c r="O16" s="5" t="inlineStr">
        <is>
          <t>retenir</t>
        </is>
      </c>
      <c r="P16" s="5" t="inlineStr">
        <is>
          <t>Indicateur ODD européen de l'état sanitaire des eaux littorales, série Eurostat sans drapeau de 2011 à 2025 (15 points), 76,4 % des sites côtiers en 2025.</t>
        </is>
      </c>
      <c r="Q16" s="5" t="inlineStr">
        <is>
          <t>retenu</t>
        </is>
      </c>
      <c r="R16" s="7" t="inlineStr"/>
      <c r="S16" s="7" t="inlineStr"/>
    </row>
    <row r="17" ht="60" customHeight="1">
      <c r="A17" s="5" t="inlineStr">
        <is>
          <t>emissions_ammoniac</t>
        </is>
      </c>
      <c r="B17" s="6" t="inlineStr">
        <is>
          <t>emissions_ammoniac</t>
        </is>
      </c>
      <c r="C17" s="5" t="inlineStr">
        <is>
          <t>Émissions d'ammoniac</t>
        </is>
      </c>
      <c r="D17" s="5" t="inlineStr">
        <is>
          <t>oui</t>
        </is>
      </c>
      <c r="E17" s="5" t="inlineStr">
        <is>
          <t>Émissions d'ammoniac (NH3) dans l'air, provenant surtout des effluents d'élevage et des engrais, total national « pour tout l'ensemble du territoire » de l'inventaire déclaré à l'Union européenne (directive (UE) …</t>
        </is>
      </c>
      <c r="F17" s="5" t="inlineStr">
        <is>
          <t>bas</t>
        </is>
      </c>
      <c r="G17" s="5" t="inlineStr">
        <is>
          <t>tonnes</t>
        </is>
      </c>
      <c r="H17" s="5" t="inlineStr">
        <is>
          <t>Eurostat — env_air_emis (polluants atmosphériques par secteur source)</t>
        </is>
      </c>
      <c r="I17" s="5" t="inlineStr">
        <is>
          <t>env_air_emis?freq=A&amp;unit=T&amp;airpol=NH3&amp;src_nfr=NFR_TOT_NAT&amp;geo=FR</t>
        </is>
      </c>
      <c r="J17" s="5" t="inlineStr">
        <is>
          <t>2000-2024 (25 points, annuelle)</t>
        </is>
      </c>
      <c r="K17" s="5" t="inlineStr">
        <is>
          <t>pression</t>
        </is>
      </c>
      <c r="L17" s="5" t="inlineStr">
        <is>
          <t>non</t>
        </is>
      </c>
      <c r="M17" s="5" t="inlineStr">
        <is>
          <t>non</t>
        </is>
      </c>
      <c r="N17" s="5" t="inlineStr">
        <is>
          <t>non</t>
        </is>
      </c>
      <c r="O17" s="5" t="inlineStr">
        <is>
          <t>retenir</t>
        </is>
      </c>
      <c r="P17" s="5" t="inlineStr">
        <is>
          <t>Pression azotée atmosphérique soumise à un plafond d'émission européen, total national Eurostat homogène et sans drapeau de 2000 à 2024 (682 900 t en 2005, 574 380 t en 2024), identique au total de conformité à 10 t près (D40).</t>
        </is>
      </c>
      <c r="Q17" s="5" t="inlineStr">
        <is>
          <t>retenu</t>
        </is>
      </c>
      <c r="R17" s="7" t="inlineStr"/>
      <c r="S17" s="7" t="inlineStr"/>
    </row>
    <row r="18" ht="60" customHeight="1">
      <c r="A18" s="5" t="inlineStr">
        <is>
          <t>emissions_co2_voitures_neuves</t>
        </is>
      </c>
      <c r="B18" s="6" t="inlineStr">
        <is>
          <t>emissions_co2_voitures_neuves</t>
        </is>
      </c>
      <c r="C18" s="5" t="inlineStr">
        <is>
          <t>Émissions moyennes de CO2 des voitures particulières neuves</t>
        </is>
      </c>
      <c r="D18" s="5" t="inlineStr">
        <is>
          <t>oui</t>
        </is>
      </c>
      <c r="E18" s="5" t="inlineStr">
        <is>
          <t>Émissions moyennes de CO2 par kilomètre des voitures particulières neuves immatriculées dans l'année, selon la mesure d'homologation.</t>
        </is>
      </c>
      <c r="F18" s="5" t="inlineStr">
        <is>
          <t>bas</t>
        </is>
      </c>
      <c r="G18" s="5" t="inlineStr">
        <is>
          <t>grammes de CO2 par kilomètre</t>
        </is>
      </c>
      <c r="H18" s="5" t="inlineStr">
        <is>
          <t>Eurostat — sdg_13_31 (émissions moyennes de CO2 par km des voitures particulières neuves)</t>
        </is>
      </c>
      <c r="I18" s="5" t="inlineStr">
        <is>
          <t>sdg_13_31?freq=A&amp;geo=FR&amp;unit=G_KM</t>
        </is>
      </c>
      <c r="J18" s="5" t="inlineStr">
        <is>
          <t>2000-2025 (26 points, annuelle)</t>
        </is>
      </c>
      <c r="K18" s="5" t="inlineStr">
        <is>
          <t>pression</t>
        </is>
      </c>
      <c r="L18" s="5" t="inlineStr">
        <is>
          <t>non</t>
        </is>
      </c>
      <c r="M18" s="5" t="inlineStr">
        <is>
          <t>non</t>
        </is>
      </c>
      <c r="N18" s="5" t="inlineStr">
        <is>
          <t>non</t>
        </is>
      </c>
      <c r="O18" s="5" t="inlineStr">
        <is>
          <t>retenir</t>
        </is>
      </c>
      <c r="P18" s="5" t="inlineStr">
        <is>
          <t>Indicateur annuel de 2000 à 2025 (26 points) adossé aux normes européennes d'émission des voitures neuves, avec une rupture en 2017 liée au passage à la procédure WLTP (drapeau b, API lue le 14/10/2026).</t>
        </is>
      </c>
      <c r="Q18" s="5" t="inlineStr">
        <is>
          <t>retenu</t>
        </is>
      </c>
      <c r="R18" s="7" t="inlineStr"/>
      <c r="S18" s="7" t="inlineStr"/>
    </row>
    <row r="19" ht="60" customHeight="1">
      <c r="A19" s="5" t="inlineStr">
        <is>
          <t>emissions_cov_non_methaniques</t>
        </is>
      </c>
      <c r="B19" s="6" t="inlineStr">
        <is>
          <t>emissions_cov_non_methaniques</t>
        </is>
      </c>
      <c r="C19" s="5" t="inlineStr">
        <is>
          <t>Émissions de composés organiques volatils non méthaniques</t>
        </is>
      </c>
      <c r="D19" s="5" t="inlineStr">
        <is>
          <t>oui</t>
        </is>
      </c>
      <c r="E19" s="5" t="inlineStr">
        <is>
          <t>Émissions de composés organiques volatils non méthaniques (COVNM) dans l'air, total national « pour tout l'ensemble du territoire » de l'inventaire déclaré à l'Union européenne (directive (UE) 2016/2284), champ France …</t>
        </is>
      </c>
      <c r="F19" s="5" t="inlineStr">
        <is>
          <t>bas</t>
        </is>
      </c>
      <c r="G19" s="5" t="inlineStr">
        <is>
          <t>tonnes</t>
        </is>
      </c>
      <c r="H19" s="5" t="inlineStr">
        <is>
          <t>Eurostat — env_air_emis (polluants atmosphériques par secteur source)</t>
        </is>
      </c>
      <c r="I19" s="5" t="inlineStr">
        <is>
          <t>env_air_emis?freq=A&amp;unit=T&amp;airpol=NMVOC&amp;src_nfr=NFR_TOT_NAT&amp;geo=FR</t>
        </is>
      </c>
      <c r="J19" s="5" t="inlineStr">
        <is>
          <t>2000-2024 (25 points, annuelle)</t>
        </is>
      </c>
      <c r="K19" s="5" t="inlineStr">
        <is>
          <t>pression</t>
        </is>
      </c>
      <c r="L19" s="5" t="inlineStr">
        <is>
          <t>non</t>
        </is>
      </c>
      <c r="M19" s="5" t="inlineStr">
        <is>
          <t>non</t>
        </is>
      </c>
      <c r="N19" s="5" t="inlineStr">
        <is>
          <t>non</t>
        </is>
      </c>
      <c r="O19" s="5" t="inlineStr">
        <is>
          <t>retenir</t>
        </is>
      </c>
      <c r="P19" s="5" t="inlineStr">
        <is>
          <t>Précurseur de l'ozone soumis à un plafond d'émission européen, total national Eurostat homogène et sans drapeau de 2000 à 2024 (2 113 480 t en 2000, 1 037 120 t en 2024), préféré au total de conformité qui exclut les émissions agricoles des catégories 3B et 3D en 2005 et depuis 2020 (D40).</t>
        </is>
      </c>
      <c r="Q19" s="5" t="inlineStr">
        <is>
          <t>retenu</t>
        </is>
      </c>
      <c r="R19" s="7" t="inlineStr"/>
      <c r="S19" s="7" t="inlineStr"/>
    </row>
    <row r="20" ht="60" customHeight="1">
      <c r="A20" s="5" t="inlineStr">
        <is>
          <t>emissions_dioxines</t>
        </is>
      </c>
      <c r="B20" s="6" t="inlineStr">
        <is>
          <t>emissions_dioxines</t>
        </is>
      </c>
      <c r="C20" s="5" t="inlineStr">
        <is>
          <t>Émissions de dioxines et furanes</t>
        </is>
      </c>
      <c r="D20" s="5" t="inlineStr">
        <is>
          <t>oui</t>
        </is>
      </c>
      <c r="E20" s="5" t="inlineStr">
        <is>
          <t>Émissions dans l'air de dioxines et furanes (polychlorodibenzo-p-dioxines et dibenzofuranes), en grammes d'équivalent toxique international, France hexagonale (inventaire Secten du Citepa).</t>
        </is>
      </c>
      <c r="F20" s="5" t="inlineStr">
        <is>
          <t>bas</t>
        </is>
      </c>
      <c r="G20" s="5" t="inlineStr">
        <is>
          <t>grammes d'équivalent toxique (g I-TEQ)</t>
        </is>
      </c>
      <c r="H20" s="5" t="inlineStr">
        <is>
          <t>Citepa — Inventaire Secten, édition 2026 (série longue)</t>
        </is>
      </c>
      <c r="I20" s="5" t="inlineStr">
        <is>
          <t>https://www.citepa.org/wp-content/uploads/2026/06/serie_longue_Citepa_Secten_ed_2026-d.xlsx (feuille BDD_Secten : POP (polluants organiques persistants).France hexagonale.PCDD-F.g-ITEQ)</t>
        </is>
      </c>
      <c r="J20" s="5" t="inlineStr">
        <is>
          <t>1990-2025 (26 points, annuelle)</t>
        </is>
      </c>
      <c r="K20" s="5" t="inlineStr">
        <is>
          <t>pression</t>
        </is>
      </c>
      <c r="L20" s="5" t="inlineStr">
        <is>
          <t>non</t>
        </is>
      </c>
      <c r="M20" s="5" t="inlineStr">
        <is>
          <t>non</t>
        </is>
      </c>
      <c r="N20" s="5" t="inlineStr">
        <is>
          <t>non</t>
        </is>
      </c>
      <c r="O20" s="5" t="inlineStr">
        <is>
          <t>retenir</t>
        </is>
      </c>
      <c r="P20" s="5" t="inlineStr">
        <is>
          <t>Seule série de polluants organiques persistants au catalogue, inventaire annuel du Citepa de 1990 à 2025 (26 points depuis 2000), de niveau 2 et de licence non trouvée.</t>
        </is>
      </c>
      <c r="Q20" s="5" t="inlineStr">
        <is>
          <t>retenu</t>
        </is>
      </c>
      <c r="R20" s="7" t="inlineStr"/>
      <c r="S20" s="7" t="inlineStr"/>
    </row>
    <row r="21" ht="60" customHeight="1">
      <c r="A21" s="5" t="inlineStr">
        <is>
          <t>emissions_dioxyde_soufre</t>
        </is>
      </c>
      <c r="B21" s="6" t="inlineStr">
        <is>
          <t>emissions_dioxyde_soufre</t>
        </is>
      </c>
      <c r="C21" s="5" t="inlineStr">
        <is>
          <t>Émissions d'oxydes de soufre</t>
        </is>
      </c>
      <c r="D21" s="5" t="inlineStr">
        <is>
          <t>oui</t>
        </is>
      </c>
      <c r="E21" s="5" t="inlineStr">
        <is>
          <t>Émissions d'oxydes de soufre (SOx, en équivalent SO2) dans l'air, total national « pour tout l'ensemble du territoire » de l'inventaire déclaré à l'Union européenne (directive (UE) 2016/2284), champ France …</t>
        </is>
      </c>
      <c r="F21" s="5" t="inlineStr">
        <is>
          <t>bas</t>
        </is>
      </c>
      <c r="G21" s="5" t="inlineStr">
        <is>
          <t>tonnes</t>
        </is>
      </c>
      <c r="H21" s="5" t="inlineStr">
        <is>
          <t>Eurostat — env_air_emis (polluants atmosphériques par secteur source)</t>
        </is>
      </c>
      <c r="I21" s="5" t="inlineStr">
        <is>
          <t>env_air_emis?freq=A&amp;unit=T&amp;airpol=SOX&amp;src_nfr=NFR_TOT_NAT&amp;geo=FR</t>
        </is>
      </c>
      <c r="J21" s="5" t="inlineStr">
        <is>
          <t>2000-2024 (25 points, annuelle)</t>
        </is>
      </c>
      <c r="K21" s="5" t="inlineStr">
        <is>
          <t>pression</t>
        </is>
      </c>
      <c r="L21" s="5" t="inlineStr">
        <is>
          <t>non</t>
        </is>
      </c>
      <c r="M21" s="5" t="inlineStr">
        <is>
          <t>non</t>
        </is>
      </c>
      <c r="N21" s="5" t="inlineStr">
        <is>
          <t>non</t>
        </is>
      </c>
      <c r="O21" s="5" t="inlineStr">
        <is>
          <t>retenir</t>
        </is>
      </c>
      <c r="P21" s="5" t="inlineStr">
        <is>
          <t>Pression atmosphérique soumise à un plafond d'émission européen, total national Eurostat homogène et sans drapeau de 2000 à 2024 (640 600 t en 2000, 70 690 t en 2024), identique au total de conformité (D40).</t>
        </is>
      </c>
      <c r="Q21" s="5" t="inlineStr">
        <is>
          <t>retenu</t>
        </is>
      </c>
      <c r="R21" s="7" t="inlineStr"/>
      <c r="S21" s="7" t="inlineStr"/>
    </row>
    <row r="22" ht="60" customHeight="1">
      <c r="A22" s="5" t="inlineStr">
        <is>
          <t>emissions_ges_territoire</t>
        </is>
      </c>
      <c r="B22" s="6" t="inlineStr">
        <is>
          <t>emissions_ges_territoire</t>
        </is>
      </c>
      <c r="C22" s="5" t="inlineStr">
        <is>
          <t>Émissions de gaz à effet de serre du territoire (hors UTCATF)</t>
        </is>
      </c>
      <c r="D22" s="5" t="inlineStr">
        <is>
          <t>oui</t>
        </is>
      </c>
      <c r="E22" s="5" t="inlineStr">
        <is>
          <t>Émissions de gaz à effet de serre (CO2, CH4, N2O et gaz fluorés, en équivalent CO2) des activités situées sur le territoire national, hors utilisation des terres, changement d'affectation des terres et foresterie …</t>
        </is>
      </c>
      <c r="F22" s="5" t="inlineStr">
        <is>
          <t>bas</t>
        </is>
      </c>
      <c r="G22" s="5" t="inlineStr">
        <is>
          <t>millions de tonnes équivalent CO2</t>
        </is>
      </c>
      <c r="H22" s="5" t="inlineStr">
        <is>
          <t>INSEE (d'après l'inventaire national du Citepa) — Indicateur complémentaire de richesse nationale et ODD 13.i4b (BDM 010596008)</t>
        </is>
      </c>
      <c r="I22" s="5" t="inlineStr">
        <is>
          <t>010596008</t>
        </is>
      </c>
      <c r="J22" s="5" t="inlineStr">
        <is>
          <t>1990-2024 (25 points, annuelle)</t>
        </is>
      </c>
      <c r="K22" s="5" t="inlineStr">
        <is>
          <t>pression</t>
        </is>
      </c>
      <c r="L22" s="5" t="inlineStr">
        <is>
          <t>non</t>
        </is>
      </c>
      <c r="M22" s="5" t="inlineStr">
        <is>
          <t>non</t>
        </is>
      </c>
      <c r="N22" s="5" t="inlineStr">
        <is>
          <t>oui</t>
        </is>
      </c>
      <c r="O22" s="5" t="inlineStr">
        <is>
          <t>retenir</t>
        </is>
      </c>
      <c r="P22" s="5" t="inlineStr">
        <is>
          <t>Concept présent dans quatre cadres (Doughnut, SSF, OCDE, INSEE), série INSEE annuelle de 1990 à 2024 (25 points depuis 2000) et grandeur visée par les budgets carbone et l'objectif de baisse de 50 % en 2030 par rapport à 1990 de la SNBC 3.</t>
        </is>
      </c>
      <c r="Q22" s="5" t="inlineStr">
        <is>
          <t>retenu_socle</t>
        </is>
      </c>
      <c r="R22" s="7" t="inlineStr"/>
      <c r="S22" s="7" t="inlineStr"/>
    </row>
    <row r="23" ht="60" customHeight="1">
      <c r="A23" s="5" t="inlineStr">
        <is>
          <t>emissions_ges_territoire</t>
        </is>
      </c>
      <c r="B23" s="5" t="inlineStr">
        <is>
          <t>emissions_ges_par_habitant</t>
        </is>
      </c>
      <c r="C23" s="5" t="inlineStr">
        <is>
          <t>Émissions de gaz à effet de serre par habitant (hors UTCATF)</t>
        </is>
      </c>
      <c r="D23" s="5" t="inlineStr">
        <is>
          <t>non</t>
        </is>
      </c>
      <c r="E23" s="5" t="inlineStr">
        <is>
          <t>Émissions nationales de gaz à effet de serre hors UTCATF et hors éléments pour mémoire (inventaire transmis à la CCNUCC et à l'Union européenne), rapportées à la population, en tonnes équivalent CO2 par personne.</t>
        </is>
      </c>
      <c r="F23" s="5" t="inlineStr">
        <is>
          <t>bas</t>
        </is>
      </c>
      <c r="G23" s="5" t="inlineStr">
        <is>
          <t>tonnes équivalent CO2 par habitant</t>
        </is>
      </c>
      <c r="H23" s="5" t="inlineStr">
        <is>
          <t>Eurostat — sdg_13_10 (émissions nationales nettes de gaz à effet de serre, indicateur ODD de l'UE)</t>
        </is>
      </c>
      <c r="I23" s="5" t="inlineStr">
        <is>
          <t>sdg_13_10?freq=A&amp;src_crf=TOTX4_MEMO&amp;unit=T_HAB&amp;geo=FR</t>
        </is>
      </c>
      <c r="J23" s="5" t="inlineStr">
        <is>
          <t>2000-2024 (25 points, annuelle)</t>
        </is>
      </c>
      <c r="K23" s="5" t="inlineStr">
        <is>
          <t>pression</t>
        </is>
      </c>
      <c r="L23" s="5" t="inlineStr">
        <is>
          <t>non</t>
        </is>
      </c>
      <c r="M23" s="5" t="inlineStr">
        <is>
          <t>non</t>
        </is>
      </c>
      <c r="N23" s="5" t="inlineStr">
        <is>
          <t>non</t>
        </is>
      </c>
      <c r="O23" s="5" t="inlineStr">
        <is>
          <t>retenir_variante</t>
        </is>
      </c>
      <c r="P23" s="5" t="inlineStr">
        <is>
          <t>Lecture par personne de la famille emissions_ges_territoire, comparable aux repères exprimés par habitant, série Eurostat sans drapeau passée de 9,1 t en 2000 à 5,3 t en 2024 (API lue le 14/10/2026).</t>
        </is>
      </c>
      <c r="Q23" s="5" t="inlineStr">
        <is>
          <t>retenu</t>
        </is>
      </c>
      <c r="R23" s="7" t="inlineStr"/>
      <c r="S23" s="7" t="inlineStr"/>
    </row>
    <row r="24" ht="60" customHeight="1">
      <c r="A24" s="5" t="inlineStr">
        <is>
          <t>emissions_metaux_lourds</t>
        </is>
      </c>
      <c r="B24" s="6" t="inlineStr">
        <is>
          <t>emissions_metaux_lourds</t>
        </is>
      </c>
      <c r="C24" s="5" t="inlineStr">
        <is>
          <t>Émissions de plomb dans l'air (métaux lourds)</t>
        </is>
      </c>
      <c r="D24" s="5" t="inlineStr">
        <is>
          <t>oui</t>
        </is>
      </c>
      <c r="E24" s="5" t="inlineStr">
        <is>
          <t>Émissions de plomb dans l'air, total national « pour tout l'ensemble du territoire » de l'inventaire déclaré à l'Union européenne, champ France métropolitaine ; les autres métaux lourds de l'inventaire sont en variantes.</t>
        </is>
      </c>
      <c r="F24" s="5" t="inlineStr">
        <is>
          <t>bas</t>
        </is>
      </c>
      <c r="G24" s="5" t="inlineStr">
        <is>
          <t>tonnes</t>
        </is>
      </c>
      <c r="H24" s="5" t="inlineStr">
        <is>
          <t>Eurostat — env_air_emis (polluants atmosphériques par secteur source)</t>
        </is>
      </c>
      <c r="I24" s="5" t="inlineStr">
        <is>
          <t>env_air_emis?freq=A&amp;unit=T&amp;airpol=PB&amp;src_nfr=NFR_TOT_NAT&amp;geo=FR</t>
        </is>
      </c>
      <c r="J24" s="5" t="inlineStr">
        <is>
          <t>2000-2024 (25 points, annuelle)</t>
        </is>
      </c>
      <c r="K24" s="5" t="inlineStr">
        <is>
          <t>pression</t>
        </is>
      </c>
      <c r="L24" s="5" t="inlineStr">
        <is>
          <t>non</t>
        </is>
      </c>
      <c r="M24" s="5" t="inlineStr">
        <is>
          <t>non</t>
        </is>
      </c>
      <c r="N24" s="5" t="inlineStr">
        <is>
          <t>non</t>
        </is>
      </c>
      <c r="O24" s="5" t="inlineStr">
        <is>
          <t>retenir</t>
        </is>
      </c>
      <c r="P24" s="5" t="inlineStr">
        <is>
          <t>Seule mesure de la pollution de l'air par les métaux lourds, total national Eurostat homogène et sans drapeau de 2000 à 2024 (280 t en 2000, 90 t en 2024), proche du Citepa pour la France hexagonale (92,1 t en 2025).</t>
        </is>
      </c>
      <c r="Q24" s="5" t="inlineStr">
        <is>
          <t>retenu</t>
        </is>
      </c>
      <c r="R24" s="7" t="inlineStr"/>
      <c r="S24" s="7" t="inlineStr"/>
    </row>
    <row r="25" ht="60" customHeight="1">
      <c r="A25" s="5" t="inlineStr">
        <is>
          <t>emissions_oxydes_azote</t>
        </is>
      </c>
      <c r="B25" s="6" t="inlineStr">
        <is>
          <t>emissions_oxydes_azote</t>
        </is>
      </c>
      <c r="C25" s="5" t="inlineStr">
        <is>
          <t>Émissions d'oxydes d'azote</t>
        </is>
      </c>
      <c r="D25" s="5" t="inlineStr">
        <is>
          <t>oui</t>
        </is>
      </c>
      <c r="E25" s="5" t="inlineStr">
        <is>
          <t>Émissions d'oxydes d'azote (NOx, en équivalent NO2) dans l'air, total national « pour tout l'ensemble du territoire » de l'inventaire déclaré à l'Union européenne (directive (UE) 2016/2284), champ France métropolitaine.</t>
        </is>
      </c>
      <c r="F25" s="5" t="inlineStr">
        <is>
          <t>bas</t>
        </is>
      </c>
      <c r="G25" s="5" t="inlineStr">
        <is>
          <t>tonnes</t>
        </is>
      </c>
      <c r="H25" s="5" t="inlineStr">
        <is>
          <t>Eurostat — env_air_emis (polluants atmosphériques par secteur source)</t>
        </is>
      </c>
      <c r="I25" s="5" t="inlineStr">
        <is>
          <t>env_air_emis?freq=A&amp;unit=T&amp;airpol=NOX&amp;src_nfr=NFR_TOT_NAT&amp;geo=FR</t>
        </is>
      </c>
      <c r="J25" s="5" t="inlineStr">
        <is>
          <t>2000-2024 (25 points, annuelle)</t>
        </is>
      </c>
      <c r="K25" s="5" t="inlineStr">
        <is>
          <t>pression</t>
        </is>
      </c>
      <c r="L25" s="5" t="inlineStr">
        <is>
          <t>non</t>
        </is>
      </c>
      <c r="M25" s="5" t="inlineStr">
        <is>
          <t>non</t>
        </is>
      </c>
      <c r="N25" s="5" t="inlineStr">
        <is>
          <t>non</t>
        </is>
      </c>
      <c r="O25" s="5" t="inlineStr">
        <is>
          <t>retenir</t>
        </is>
      </c>
      <c r="P25" s="5" t="inlineStr">
        <is>
          <t>Pression atmosphérique soumise à un plafond d'émission européen, total national Eurostat homogène et sans drapeau de 2000 à 2024 (1 570 690 t en 2005, 647 990 t en 2024), identique au total de conformité à 10 t près (D40).</t>
        </is>
      </c>
      <c r="Q25" s="5" t="inlineStr">
        <is>
          <t>retenu</t>
        </is>
      </c>
      <c r="R25" s="7" t="inlineStr"/>
      <c r="S25" s="7" t="inlineStr"/>
    </row>
    <row r="26" ht="60" customHeight="1">
      <c r="A26" s="5" t="inlineStr">
        <is>
          <t>emissions_particules_fines</t>
        </is>
      </c>
      <c r="B26" s="6" t="inlineStr">
        <is>
          <t>emissions_particules_fines</t>
        </is>
      </c>
      <c r="C26" s="5" t="inlineStr">
        <is>
          <t>Émissions de particules fines (PM2,5)</t>
        </is>
      </c>
      <c r="D26" s="5" t="inlineStr">
        <is>
          <t>oui</t>
        </is>
      </c>
      <c r="E26" s="5" t="inlineStr">
        <is>
          <t>Émissions de particules de diamètre inférieur à 2,5 µm dans l'air, total national « pour tout l'ensemble du territoire » de l'inventaire déclaré à l'Union européenne (directive (UE) 2016/2284), champ France …</t>
        </is>
      </c>
      <c r="F26" s="5" t="inlineStr">
        <is>
          <t>bas</t>
        </is>
      </c>
      <c r="G26" s="5" t="inlineStr">
        <is>
          <t>tonnes</t>
        </is>
      </c>
      <c r="H26" s="5" t="inlineStr">
        <is>
          <t>Eurostat — env_air_emis (polluants atmosphériques par secteur source)</t>
        </is>
      </c>
      <c r="I26" s="5" t="inlineStr">
        <is>
          <t>env_air_emis?freq=A&amp;unit=T&amp;airpol=PM2_5&amp;src_nfr=NFR_TOT_NAT&amp;geo=FR</t>
        </is>
      </c>
      <c r="J26" s="5" t="inlineStr">
        <is>
          <t>2000-2024 (25 points, annuelle)</t>
        </is>
      </c>
      <c r="K26" s="5" t="inlineStr">
        <is>
          <t>pression</t>
        </is>
      </c>
      <c r="L26" s="5" t="inlineStr">
        <is>
          <t>non</t>
        </is>
      </c>
      <c r="M26" s="5" t="inlineStr">
        <is>
          <t>non</t>
        </is>
      </c>
      <c r="N26" s="5" t="inlineStr">
        <is>
          <t>non</t>
        </is>
      </c>
      <c r="O26" s="5" t="inlineStr">
        <is>
          <t>retenir</t>
        </is>
      </c>
      <c r="P26" s="5" t="inlineStr">
        <is>
          <t>Pression atmosphérique soumise à un plafond d'émission européen, total national Eurostat homogène et sans drapeau de 2000 à 2024 (342 500 t en 2005, 167 520 t en 2024), identique au total de conformité (D40).</t>
        </is>
      </c>
      <c r="Q26" s="5" t="inlineStr">
        <is>
          <t>retenu</t>
        </is>
      </c>
      <c r="R26" s="7" t="inlineStr"/>
      <c r="S26" s="7" t="inlineStr"/>
    </row>
    <row r="27" ht="60" customHeight="1">
      <c r="A27" s="5" t="inlineStr">
        <is>
          <t>empreinte_carbone</t>
        </is>
      </c>
      <c r="B27" s="6" t="inlineStr">
        <is>
          <t>empreinte_carbone_par_habitant</t>
        </is>
      </c>
      <c r="C27" s="5" t="inlineStr">
        <is>
          <t>Empreinte carbone par habitant</t>
        </is>
      </c>
      <c r="D27" s="5" t="inlineStr">
        <is>
          <t>oui</t>
        </is>
      </c>
      <c r="E27" s="5" t="inlineStr">
        <is>
          <t>Empreinte carbone de la France (émissions de gaz à effet de serre induites par la demande finale intérieure, importations comprises) rapportée à la population, en tonnes équivalent CO2 par personne.</t>
        </is>
      </c>
      <c r="F27" s="5" t="inlineStr">
        <is>
          <t>bas</t>
        </is>
      </c>
      <c r="G27" s="5" t="inlineStr">
        <is>
          <t>tonnes équivalent CO2 par habitant</t>
        </is>
      </c>
      <c r="H27" s="5" t="inlineStr">
        <is>
          <t>INSEE-SDES — Indicateur de richesse nationale n° 9 et ODD 13.i3b (BDM 010595988)</t>
        </is>
      </c>
      <c r="I27" s="5" t="inlineStr">
        <is>
          <t>010595988</t>
        </is>
      </c>
      <c r="J27" s="5" t="inlineStr">
        <is>
          <t>1995-2024 (25 points, annuelle)</t>
        </is>
      </c>
      <c r="K27" s="5" t="inlineStr">
        <is>
          <t>pression</t>
        </is>
      </c>
      <c r="L27" s="5" t="inlineStr">
        <is>
          <t>non</t>
        </is>
      </c>
      <c r="M27" s="5" t="inlineStr">
        <is>
          <t>non</t>
        </is>
      </c>
      <c r="N27" s="5" t="inlineStr">
        <is>
          <t>oui</t>
        </is>
      </c>
      <c r="O27" s="5" t="inlineStr">
        <is>
          <t>retenir</t>
        </is>
      </c>
      <c r="P27" s="5" t="inlineStr">
        <is>
          <t>Variante principale de la famille empreinte_carbone (par habitant, D38 h), indicateur de richesse nationale n° 9 directement comparable aux repères de 2,3 et 3,1 t par habitant en 2050 de la SNBC 3, série annuelle de 1995 à 2024 (11,4 t en 2000, 8,2 t en 2024, estimée).</t>
        </is>
      </c>
      <c r="Q27" s="5" t="inlineStr">
        <is>
          <t>retenu_socle</t>
        </is>
      </c>
      <c r="R27" s="7" t="inlineStr"/>
      <c r="S27" s="7" t="inlineStr"/>
    </row>
    <row r="28" ht="60" customHeight="1">
      <c r="A28" s="5" t="inlineStr">
        <is>
          <t>empreinte_carbone</t>
        </is>
      </c>
      <c r="B28" s="5" t="inlineStr">
        <is>
          <t>empreinte_carbone</t>
        </is>
      </c>
      <c r="C28" s="5" t="inlineStr">
        <is>
          <t>Empreinte carbone de la France</t>
        </is>
      </c>
      <c r="D28" s="5" t="inlineStr">
        <is>
          <t>non</t>
        </is>
      </c>
      <c r="E28" s="5" t="inlineStr">
        <is>
          <t>Émissions de gaz à effet de serre (CO2, CH4, N2O) induites par la demande finale intérieure (consommation des ménages et des administrations, investissement), y compris celles émises à l'étranger pour produire les biens …</t>
        </is>
      </c>
      <c r="F28" s="5" t="inlineStr">
        <is>
          <t>bas</t>
        </is>
      </c>
      <c r="G28" s="5" t="inlineStr">
        <is>
          <t>millions de tonnes équivalent CO2</t>
        </is>
      </c>
      <c r="H28" s="5" t="inlineStr">
        <is>
          <t>INSEE-SDES — Indicateur de richesse nationale n° 9 et ODD 13.i3a (BDM 010595981)</t>
        </is>
      </c>
      <c r="I28" s="5" t="inlineStr">
        <is>
          <t>010595981</t>
        </is>
      </c>
      <c r="J28" s="5" t="inlineStr">
        <is>
          <t>1995-2024 (25 points, annuelle)</t>
        </is>
      </c>
      <c r="K28" s="5" t="inlineStr">
        <is>
          <t>pression</t>
        </is>
      </c>
      <c r="L28" s="5" t="inlineStr">
        <is>
          <t>non</t>
        </is>
      </c>
      <c r="M28" s="5" t="inlineStr">
        <is>
          <t>non</t>
        </is>
      </c>
      <c r="N28" s="5" t="inlineStr">
        <is>
          <t>non</t>
        </is>
      </c>
      <c r="O28" s="5" t="inlineStr">
        <is>
          <t>retenir_variante</t>
        </is>
      </c>
      <c r="P28" s="5" t="inlineStr">
        <is>
          <t>Lecture en volume de la famille empreinte_carbone, grandeur des fourchettes indicatives de la SNBC 3, série INSEE-SDES annuelle de 1995 à 2024 (692 Mt en 2000, 563 Mt en 2024, estimée), le par habitant étant principal (D38 h).</t>
        </is>
      </c>
      <c r="Q28" s="5" t="inlineStr">
        <is>
          <t>retenu</t>
        </is>
      </c>
      <c r="R28" s="7" t="inlineStr"/>
      <c r="S28" s="7" t="inlineStr"/>
    </row>
    <row r="29" ht="60" customHeight="1">
      <c r="A29" s="5" t="inlineStr">
        <is>
          <t>empreinte_consommation_ue</t>
        </is>
      </c>
      <c r="B29" s="6" t="inlineStr">
        <is>
          <t>empreinte_consommation_ue</t>
        </is>
      </c>
      <c r="C29" s="5" t="inlineStr">
        <is>
          <t>Empreinte environnementale de la consommation (note unique pondérée)</t>
        </is>
      </c>
      <c r="D29" s="5" t="inlineStr">
        <is>
          <t>oui</t>
        </is>
      </c>
      <c r="E29" s="5" t="inlineStr">
        <is>
          <t>Indicateur composite du Centre commun de recherche de la Commission européenne qui agrège, par analyse du cycle de vie, seize catégories d'impact de la consommation (climat, particules, acidification, eutrophisation, …</t>
        </is>
      </c>
      <c r="F29" s="5" t="inlineStr">
        <is>
          <t>bas</t>
        </is>
      </c>
      <c r="G29" s="5" t="inlineStr">
        <is>
          <t>limite planétaire (unité Eurostat PB)</t>
        </is>
      </c>
      <c r="H29" s="5" t="inlineStr">
        <is>
          <t>Eurostat (modèle du Centre commun de recherche) — sdg_12_31 (empreinte de consommation, note unique pondérée)</t>
        </is>
      </c>
      <c r="I29" s="5" t="inlineStr">
        <is>
          <t>sdg_12_31?freq=A&amp;cons_fp=SWS&amp;unit=PB&amp;geo=FR</t>
        </is>
      </c>
      <c r="J29" s="5" t="inlineStr">
        <is>
          <t>2010-2024 (15 points, annuelle)</t>
        </is>
      </c>
      <c r="K29" s="5" t="inlineStr">
        <is>
          <t>pression</t>
        </is>
      </c>
      <c r="L29" s="5" t="inlineStr">
        <is>
          <t>non</t>
        </is>
      </c>
      <c r="M29" s="5" t="inlineStr">
        <is>
          <t>oui</t>
        </is>
      </c>
      <c r="N29" s="5" t="inlineStr">
        <is>
          <t>non</t>
        </is>
      </c>
      <c r="O29" s="5" t="inlineStr">
        <is>
          <t>retenir</t>
        </is>
      </c>
      <c r="P29" s="5" t="inlineStr">
        <is>
          <t>Seul indicateur public qui rapporte l'ensemble des impacts de la consommation aux limites planétaires, série Eurostat sans drapeau de 2010 à 2024 (3,27 en 2010, 3,17 en 2024), admis comme composite (D18).</t>
        </is>
      </c>
      <c r="Q29" s="5" t="inlineStr">
        <is>
          <t>retenu</t>
        </is>
      </c>
      <c r="R29" s="7" t="inlineStr"/>
      <c r="S29" s="7" t="inlineStr"/>
    </row>
    <row r="30" ht="60" customHeight="1">
      <c r="A30" s="5" t="inlineStr">
        <is>
          <t>empreinte_ecologique</t>
        </is>
      </c>
      <c r="B30" s="6" t="inlineStr">
        <is>
          <t>empreinte_ecologique</t>
        </is>
      </c>
      <c r="C30" s="5" t="inlineStr">
        <is>
          <t>Empreinte écologique de la consommation par habitant</t>
        </is>
      </c>
      <c r="D30" s="5" t="inlineStr">
        <is>
          <t>oui</t>
        </is>
      </c>
      <c r="E30" s="5" t="inlineStr">
        <is>
          <t>Surface biologiquement productive (cultures, pâturages, forêts, zones de pêche, terrains bâtis et forêts nécessaires à l'absorption du CO2) mobilisée pour produire ce que consomment les habitants et absorber leurs …</t>
        </is>
      </c>
      <c r="F30" s="5" t="inlineStr">
        <is>
          <t>bas</t>
        </is>
      </c>
      <c r="G30" s="5" t="inlineStr">
        <is>
          <t>hectares globaux par habitant</t>
        </is>
      </c>
      <c r="H30" s="5" t="inlineStr">
        <is>
          <t>Footprint Data Foundation (comptes nationaux d'empreinte écologique et de biocapacité) — National Ecological Footprint and Biocapacity Accounts, édition 2026 (feuille national_data, colonne efc_total_percapita)</t>
        </is>
      </c>
      <c r="I30" s="5" t="inlineStr">
        <is>
          <t>https://fodafo.org/wp-content/uploads/NEFBA2026_bulk_v1_0_omiting_Iceland_Faroe_Islands.xlsx (feuille national_data) (colonne efc_total_percapita)</t>
        </is>
      </c>
      <c r="J30" s="5" t="inlineStr">
        <is>
          <t>1961-2025 (26 points, annuelle)</t>
        </is>
      </c>
      <c r="K30" s="5" t="inlineStr">
        <is>
          <t>pression</t>
        </is>
      </c>
      <c r="L30" s="5" t="inlineStr">
        <is>
          <t>non</t>
        </is>
      </c>
      <c r="M30" s="5" t="inlineStr">
        <is>
          <t>oui</t>
        </is>
      </c>
      <c r="N30" s="5" t="inlineStr">
        <is>
          <t>non</t>
        </is>
      </c>
      <c r="O30" s="5" t="inlineStr">
        <is>
          <t>retenir</t>
        </is>
      </c>
      <c r="P30" s="5" t="inlineStr">
        <is>
          <t>Seul indicateur agrégé de la demande de surfaces productives, comparable à la biocapacité, disponible de 1961 à 2025 (dont 2024 et 2025 estimés) et admis comme composite (D18).</t>
        </is>
      </c>
      <c r="Q30" s="5" t="inlineStr">
        <is>
          <t>retenu</t>
        </is>
      </c>
      <c r="R30" s="7" t="inlineStr"/>
      <c r="S30" s="7" t="inlineStr"/>
    </row>
    <row r="31" ht="60" customHeight="1">
      <c r="A31" s="5" t="inlineStr">
        <is>
          <t>empreinte_matieres</t>
        </is>
      </c>
      <c r="B31" s="6" t="inlineStr">
        <is>
          <t>empreinte_matieres</t>
        </is>
      </c>
      <c r="C31" s="5" t="inlineStr">
        <is>
          <t>Empreinte matières par habitant</t>
        </is>
      </c>
      <c r="D31" s="5" t="inlineStr">
        <is>
          <t>oui</t>
        </is>
      </c>
      <c r="E31" s="5" t="inlineStr">
        <is>
          <t>Consommation de matières premières (biomasse, minerais métalliques, minéraux non métalliques, combustibles fossiles) mobilisées dans le monde pour satisfaire la demande finale du pays, importations comptées en …</t>
        </is>
      </c>
      <c r="F31" s="5" t="inlineStr">
        <is>
          <t>bas</t>
        </is>
      </c>
      <c r="G31" s="5" t="inlineStr">
        <is>
          <t>tonnes par habitant</t>
        </is>
      </c>
      <c r="H31" s="5" t="inlineStr">
        <is>
          <t>Eurostat — sdg_12_21 (empreinte matérielle)</t>
        </is>
      </c>
      <c r="I31" s="5" t="inlineStr">
        <is>
          <t>sdg_12_21?freq=A&amp;indic_env=RMC&amp;material=TOTAL&amp;unit=T_HAB&amp;geo=FR</t>
        </is>
      </c>
      <c r="J31" s="5" t="inlineStr">
        <is>
          <t>2008-2025 (18 points, annuelle)</t>
        </is>
      </c>
      <c r="K31" s="5" t="inlineStr">
        <is>
          <t>pression</t>
        </is>
      </c>
      <c r="L31" s="5" t="inlineStr">
        <is>
          <t>non</t>
        </is>
      </c>
      <c r="M31" s="5" t="inlineStr">
        <is>
          <t>non</t>
        </is>
      </c>
      <c r="N31" s="5" t="inlineStr">
        <is>
          <t>non</t>
        </is>
      </c>
      <c r="O31" s="5" t="inlineStr">
        <is>
          <t>retenir</t>
        </is>
      </c>
      <c r="P31" s="5" t="inlineStr">
        <is>
          <t>Mesure de la pression matérielle de la consommation, série Eurostat de 2008 à 2025 (17,2 t par habitant en 2008, 11,9 t en 2025 imputée), plus longue et plus fraîche que la série INSEE (2010-2022).</t>
        </is>
      </c>
      <c r="Q31" s="5" t="inlineStr">
        <is>
          <t>retenu</t>
        </is>
      </c>
      <c r="R31" s="7" t="inlineStr"/>
      <c r="S31" s="7" t="inlineStr"/>
    </row>
    <row r="32" ht="60" customHeight="1">
      <c r="A32" s="5" t="inlineStr">
        <is>
          <t>erosion_sols</t>
        </is>
      </c>
      <c r="B32" s="6" t="inlineStr">
        <is>
          <t>erosion_sols</t>
        </is>
      </c>
      <c r="C32" s="5" t="inlineStr">
        <is>
          <t>Part du territoire à risque d'érosion sévère des sols par l'eau</t>
        </is>
      </c>
      <c r="D32" s="5" t="inlineStr">
        <is>
          <t>oui</t>
        </is>
      </c>
      <c r="E32" s="5" t="inlineStr">
        <is>
          <t>Part des terres agricoles, forêts et milieux semi-naturels où l'érosion des sols par l'eau est estimée sévère, d'après une modélisation du Centre commun de recherche de la Commission européenne.</t>
        </is>
      </c>
      <c r="F32" s="5" t="inlineStr">
        <is>
          <t>bas</t>
        </is>
      </c>
      <c r="G32" s="5" t="inlineStr">
        <is>
          <t>% de la superficie concernée</t>
        </is>
      </c>
      <c r="H32" s="5" t="inlineStr">
        <is>
          <t>Eurostat (modèle du Centre commun de recherche) — sdg_15_50 (superficie à risque d'érosion sévère des sols par l'eau)</t>
        </is>
      </c>
      <c r="I32" s="5" t="inlineStr">
        <is>
          <t>sdg_15_50?freq=A&amp;levels=SEV&amp;clc18=CLC2_3X331_332_335&amp;unit=PC&amp;geo=FR</t>
        </is>
      </c>
      <c r="J32" s="5" t="inlineStr">
        <is>
          <t>2000-2023 (4 points, irreguliere)</t>
        </is>
      </c>
      <c r="K32" s="5" t="inlineStr">
        <is>
          <t>resultat</t>
        </is>
      </c>
      <c r="L32" s="5" t="inlineStr">
        <is>
          <t>non</t>
        </is>
      </c>
      <c r="M32" s="5" t="inlineStr">
        <is>
          <t>non</t>
        </is>
      </c>
      <c r="N32" s="5" t="inlineStr">
        <is>
          <t>non</t>
        </is>
      </c>
      <c r="O32" s="5" t="inlineStr">
        <is>
          <t>retenir</t>
        </is>
      </c>
      <c r="P32" s="5" t="inlineStr">
        <is>
          <t>Seule mesure de l'état des sols au catalogue, 4 estimations (2000, 2010, 2016, 2023) passées de 4,14 % à 3,08 % (2023 provisoire), admise comme série irrégulière (D17).</t>
        </is>
      </c>
      <c r="Q32" s="5" t="inlineStr">
        <is>
          <t>retenu</t>
        </is>
      </c>
      <c r="R32" s="7" t="inlineStr"/>
      <c r="S32" s="7" t="inlineStr"/>
    </row>
    <row r="33" ht="60" customHeight="1">
      <c r="A33" s="5" t="inlineStr">
        <is>
          <t>espaces_naturels</t>
        </is>
      </c>
      <c r="B33" s="6" t="inlineStr">
        <is>
          <t>part_espaces_naturels</t>
        </is>
      </c>
      <c r="C33" s="5" t="inlineStr">
        <is>
          <t>Part du territoire en espaces boisés, naturels, humides ou en eau</t>
        </is>
      </c>
      <c r="D33" s="5" t="inlineStr">
        <is>
          <t>oui</t>
        </is>
      </c>
      <c r="E33" s="5" t="inlineStr">
        <is>
          <t>Part du territoire de France métropolitaine occupée par des zones boisées, naturelles, humides ou en eau d'après l'enquête Teruti, calculée par le projet à partir des surfaces que l'INSEE publie en hectares (la série …</t>
        </is>
      </c>
      <c r="F33" s="5" t="inlineStr">
        <is>
          <t>haut</t>
        </is>
      </c>
      <c r="G33" s="5" t="inlineStr">
        <is>
          <t>% du territoire</t>
        </is>
      </c>
      <c r="H33" s="5" t="inlineStr">
        <is>
          <t>INSEE (d'après l'enquête Teruti du ministère de l'agriculture) — Enquête Teruti, BDM 010776377 (zones boisées, naturelles, humides ou en eau), 010776375 (terres agricoles) et 010596146 (sols artificialisés), surfaces en hectares</t>
        </is>
      </c>
      <c r="I33" s="5" t="inlineStr">
        <is>
          <t>010776377</t>
        </is>
      </c>
      <c r="J33" s="5" t="inlineStr">
        <is>
          <t>1982-2022 (23 points, annuelle)</t>
        </is>
      </c>
      <c r="K33" s="5" t="inlineStr">
        <is>
          <t>resultat</t>
        </is>
      </c>
      <c r="L33" s="5" t="inlineStr">
        <is>
          <t>non</t>
        </is>
      </c>
      <c r="M33" s="5" t="inlineStr">
        <is>
          <t>non</t>
        </is>
      </c>
      <c r="N33" s="5" t="inlineStr">
        <is>
          <t>oui</t>
        </is>
      </c>
      <c r="O33" s="5" t="inlineStr">
        <is>
          <t>retenir</t>
        </is>
      </c>
      <c r="P33" s="5" t="inlineStr">
        <is>
          <t>Concept « usage des sols » présent dans trois cadres, part recalculée sur les surfaces Teruti en hectares de 1982 à 2022 (39,95 % en 2000, 40,07 % en 2022), recoupée avec la série INSEE arrondie (40 %) et avec la part artificialisée publiée (D34).</t>
        </is>
      </c>
      <c r="Q33" s="5" t="inlineStr">
        <is>
          <t>retenu_socle</t>
        </is>
      </c>
      <c r="R33" s="7" t="inlineStr"/>
      <c r="S33" s="7" t="inlineStr"/>
    </row>
    <row r="34" ht="60" customHeight="1">
      <c r="A34" s="5" t="inlineStr">
        <is>
          <t>especes_exotiques_envahissantes</t>
        </is>
      </c>
      <c r="B34" s="6" t="inlineStr">
        <is>
          <t>especes_exotiques_envahissantes</t>
        </is>
      </c>
      <c r="C34" s="5" t="inlineStr">
        <is>
          <t>Espèces exotiques envahissantes (moyenne sur dix ans)</t>
        </is>
      </c>
      <c r="D34" s="5" t="inlineStr">
        <is>
          <t>oui</t>
        </is>
      </c>
      <c r="E34" s="5" t="inlineStr">
        <is>
          <t>Nombre moyen d'espèces exotiques envahissantes en France métropolitaine, en moyenne sur dix ans (indicateur national ODD 15.i7a ; mode de comptage : non trouvé).</t>
        </is>
      </c>
      <c r="F34" s="5" t="inlineStr">
        <is>
          <t>bas</t>
        </is>
      </c>
      <c r="G34" s="5" t="inlineStr">
        <is>
          <t>nombre d'espèces (moyenne sur 10 ans)</t>
        </is>
      </c>
      <c r="H34" s="5" t="inlineStr">
        <is>
          <t>INSEE (indicateurs ODD nationaux) — ODD 15.i7a (BDM 010596532)</t>
        </is>
      </c>
      <c r="I34" s="5" t="inlineStr">
        <is>
          <t>010596532</t>
        </is>
      </c>
      <c r="J34" s="5" t="inlineStr">
        <is>
          <t>2014-2024 (2 points, irreguliere)</t>
        </is>
      </c>
      <c r="K34" s="5" t="inlineStr">
        <is>
          <t>pression</t>
        </is>
      </c>
      <c r="L34" s="5" t="inlineStr">
        <is>
          <t>non</t>
        </is>
      </c>
      <c r="M34" s="5" t="inlineStr">
        <is>
          <t>non</t>
        </is>
      </c>
      <c r="N34" s="5" t="inlineStr">
        <is>
          <t>non</t>
        </is>
      </c>
      <c r="O34" s="5" t="inlineStr">
        <is>
          <t>retenir</t>
        </is>
      </c>
      <c r="P34" s="5" t="inlineStr">
        <is>
          <t>Seule mesure de la pression des espèces exotiques envahissantes, l'une des cinq causes directes du déclin de la biodiversité, publiée pour 2014 (37,5) et 2024 (54,3) et admise comme série irrégulière (D17).</t>
        </is>
      </c>
      <c r="Q34" s="5" t="inlineStr">
        <is>
          <t>retenu</t>
        </is>
      </c>
      <c r="R34" s="7" t="inlineStr"/>
      <c r="S34" s="7" t="inlineStr"/>
    </row>
    <row r="35" ht="60" customHeight="1">
      <c r="A35" s="5" t="inlineStr">
        <is>
          <t>etat_chimique_eaux_souterraines</t>
        </is>
      </c>
      <c r="B35" s="6" t="inlineStr">
        <is>
          <t>etat_chimique_eaux_souterraines</t>
        </is>
      </c>
      <c r="C35" s="5" t="inlineStr">
        <is>
          <t>Part des masses d'eau souterraine en bon état chimique</t>
        </is>
      </c>
      <c r="D35" s="5" t="inlineStr">
        <is>
          <t>oui</t>
        </is>
      </c>
      <c r="E35" s="5" t="inlineStr">
        <is>
          <t>Part des masses d'eau souterraine (nappes) en bon état chimique au sens de la directive-cadre sur l'eau, d'après les états des lieux des bassins (indicateur national ODD 6.i2c).</t>
        </is>
      </c>
      <c r="F35" s="5" t="inlineStr">
        <is>
          <t>haut</t>
        </is>
      </c>
      <c r="G35" s="5" t="inlineStr">
        <is>
          <t>% des masses d'eau souterraine</t>
        </is>
      </c>
      <c r="H35" s="5" t="inlineStr">
        <is>
          <t>INSEE (indicateurs ODD nationaux) — ODD 6.i2c (BDM 010595394)</t>
        </is>
      </c>
      <c r="I35" s="5" t="inlineStr">
        <is>
          <t>010595394</t>
        </is>
      </c>
      <c r="J35" s="5" t="inlineStr">
        <is>
          <t>2013-2021 (4 points, irreguliere)</t>
        </is>
      </c>
      <c r="K35" s="5" t="inlineStr">
        <is>
          <t>resultat</t>
        </is>
      </c>
      <c r="L35" s="5" t="inlineStr">
        <is>
          <t>non</t>
        </is>
      </c>
      <c r="M35" s="5" t="inlineStr">
        <is>
          <t>non</t>
        </is>
      </c>
      <c r="N35" s="5" t="inlineStr">
        <is>
          <t>non</t>
        </is>
      </c>
      <c r="O35" s="5" t="inlineStr">
        <is>
          <t>retenir</t>
        </is>
      </c>
      <c r="P35" s="5" t="inlineStr">
        <is>
          <t>Indicateur de référence de la qualité des nappes (directive-cadre sur l'eau), 4 points de 2013 à 2021, non éligible dans la long-list mais candidat selon D28 (maintenance PLA-1).</t>
        </is>
      </c>
      <c r="Q35" s="5" t="inlineStr">
        <is>
          <t>retenu</t>
        </is>
      </c>
      <c r="R35" s="7" t="inlineStr"/>
      <c r="S35" s="7" t="inlineStr"/>
    </row>
    <row r="36" ht="60" customHeight="1">
      <c r="A36" s="5" t="inlineStr">
        <is>
          <t>etat_conservation_habitats</t>
        </is>
      </c>
      <c r="B36" s="6" t="inlineStr">
        <is>
          <t>etat_conservation_habitats</t>
        </is>
      </c>
      <c r="C36" s="5" t="inlineStr">
        <is>
          <t>Part des habitats naturels dans un état de conservation favorable</t>
        </is>
      </c>
      <c r="D36" s="5" t="inlineStr">
        <is>
          <t>oui</t>
        </is>
      </c>
      <c r="E36" s="5" t="inlineStr">
        <is>
          <t>Part des évaluations d'habitats d'intérêt communautaire (directive Habitats-Faune-Flore) jugées dans un état de conservation favorable, France métropolitaine, moyenne sur la période de rapportage de six ans (indicateur …</t>
        </is>
      </c>
      <c r="F36" s="5" t="inlineStr">
        <is>
          <t>haut</t>
        </is>
      </c>
      <c r="G36" s="5" t="inlineStr">
        <is>
          <t>% des évaluations (moyenne sur 6 ans)</t>
        </is>
      </c>
      <c r="H36" s="5" t="inlineStr">
        <is>
          <t>INSEE (indicateurs ODD nationaux) — ODD 15.i2 (BDM 010596301)</t>
        </is>
      </c>
      <c r="I36" s="5" t="inlineStr">
        <is>
          <t>010596301</t>
        </is>
      </c>
      <c r="J36" s="5" t="inlineStr">
        <is>
          <t>2012-2024 (3 points, irreguliere)</t>
        </is>
      </c>
      <c r="K36" s="5" t="inlineStr">
        <is>
          <t>resultat</t>
        </is>
      </c>
      <c r="L36" s="5" t="inlineStr">
        <is>
          <t>non</t>
        </is>
      </c>
      <c r="M36" s="5" t="inlineStr">
        <is>
          <t>non</t>
        </is>
      </c>
      <c r="N36" s="5" t="inlineStr">
        <is>
          <t>non</t>
        </is>
      </c>
      <c r="O36" s="5" t="inlineStr">
        <is>
          <t>retenir</t>
        </is>
      </c>
      <c r="P36" s="5" t="inlineStr">
        <is>
          <t>Seule mesure de l'état des habitats naturels, publiée à chaque rapportage européen (22 % en 2012, 20 % en 2018, 16 % en 2024, provisoire) et admise comme série irrégulière (D17).</t>
        </is>
      </c>
      <c r="Q36" s="5" t="inlineStr">
        <is>
          <t>retenu</t>
        </is>
      </c>
      <c r="R36" s="7" t="inlineStr"/>
      <c r="S36" s="7" t="inlineStr"/>
    </row>
    <row r="37" ht="60" customHeight="1">
      <c r="A37" s="5" t="inlineStr">
        <is>
          <t>etat_ecologique_eaux_surface</t>
        </is>
      </c>
      <c r="B37" s="6" t="inlineStr">
        <is>
          <t>etat_ecologique_eaux_surface</t>
        </is>
      </c>
      <c r="C37" s="5" t="inlineStr">
        <is>
          <t>Part des masses d'eau de surface en bon ou très bon état écologique</t>
        </is>
      </c>
      <c r="D37" s="5" t="inlineStr">
        <is>
          <t>oui</t>
        </is>
      </c>
      <c r="E37" s="5" t="inlineStr">
        <is>
          <t>Part des masses d'eau de surface (cours d'eau, plans d'eau) en très bon ou bon état écologique au sens de la directive-cadre sur l'eau, d'après les états des lieux des bassins (indicateur national ODD 6.i2a ; somme des …</t>
        </is>
      </c>
      <c r="F37" s="5" t="inlineStr">
        <is>
          <t>haut</t>
        </is>
      </c>
      <c r="G37" s="5" t="inlineStr">
        <is>
          <t>% des masses d'eau de surface</t>
        </is>
      </c>
      <c r="H37" s="5" t="inlineStr">
        <is>
          <t>INSEE (indicateurs ODD nationaux) — ODD 6.i2a (BDM 010595385 et 010595386)</t>
        </is>
      </c>
      <c r="I37" s="5" t="inlineStr">
        <is>
          <t>010595385 + 010595386</t>
        </is>
      </c>
      <c r="J37" s="5" t="inlineStr">
        <is>
          <t>2013-2021 (4 points, irreguliere)</t>
        </is>
      </c>
      <c r="K37" s="5" t="inlineStr">
        <is>
          <t>resultat</t>
        </is>
      </c>
      <c r="L37" s="5" t="inlineStr">
        <is>
          <t>non</t>
        </is>
      </c>
      <c r="M37" s="5" t="inlineStr">
        <is>
          <t>non</t>
        </is>
      </c>
      <c r="N37" s="5" t="inlineStr">
        <is>
          <t>non</t>
        </is>
      </c>
      <c r="O37" s="5" t="inlineStr">
        <is>
          <t>retenir</t>
        </is>
      </c>
      <c r="P37" s="5" t="inlineStr">
        <is>
          <t>Indicateur de référence de la qualité des rivières (directive-cadre sur l'eau), 4 points de 2013 à 2021, non éligible dans la long-list mais candidat selon D28 (écart moyen de 2,7 ans entre valeurs, maintenance PLA-1).</t>
        </is>
      </c>
      <c r="Q37" s="5" t="inlineStr">
        <is>
          <t>retenu</t>
        </is>
      </c>
      <c r="R37" s="7" t="inlineStr"/>
      <c r="S37" s="7" t="inlineStr"/>
    </row>
    <row r="38" ht="60" customHeight="1">
      <c r="A38" s="5" t="inlineStr">
        <is>
          <t>eutrophisation_eaux_marines</t>
        </is>
      </c>
      <c r="B38" s="6" t="inlineStr">
        <is>
          <t>eutrophisation_eaux_marines</t>
        </is>
      </c>
      <c r="C38" s="5" t="inlineStr">
        <is>
          <t>Part des eaux marines touchées par l'eutrophisation (moyenne sur quatre ans)</t>
        </is>
      </c>
      <c r="D38" s="5" t="inlineStr">
        <is>
          <t>oui</t>
        </is>
      </c>
      <c r="E38" s="5" t="inlineStr">
        <is>
          <t>Part de la zone économique exclusive métropolitaine (environ 348 500 km²) classée eutrophe, en moyenne sur quatre ans : une zone est eutrophe quand la concentration en chlorophylle a, observée par satellite (Copernicus …</t>
        </is>
      </c>
      <c r="F38" s="5" t="inlineStr">
        <is>
          <t>bas</t>
        </is>
      </c>
      <c r="G38" s="5" t="inlineStr">
        <is>
          <t>% de la ZEE métropolitaine (moyenne sur 4 ans)</t>
        </is>
      </c>
      <c r="H38" s="5" t="inlineStr">
        <is>
          <t>Eurostat — sdg_14_60 (eaux marines concernées par eutrophisation)</t>
        </is>
      </c>
      <c r="I38" s="5" t="inlineStr">
        <is>
          <t>sdg_14_60?freq=A&amp;statinfo=AVG_4Y&amp;indic_env=MA_ETR&amp;unit=PC&amp;geo=FR</t>
        </is>
      </c>
      <c r="J38" s="5" t="inlineStr">
        <is>
          <t>2001-2025 (25 points, annuelle)</t>
        </is>
      </c>
      <c r="K38" s="5" t="inlineStr">
        <is>
          <t>resultat</t>
        </is>
      </c>
      <c r="L38" s="5" t="inlineStr">
        <is>
          <t>non</t>
        </is>
      </c>
      <c r="M38" s="5" t="inlineStr">
        <is>
          <t>non</t>
        </is>
      </c>
      <c r="N38" s="5" t="inlineStr">
        <is>
          <t>non</t>
        </is>
      </c>
      <c r="O38" s="5" t="inlineStr">
        <is>
          <t>retenir</t>
        </is>
      </c>
      <c r="P38" s="5" t="inlineStr">
        <is>
          <t>Seule mesure de l'eutrophisation des eaux marines au catalogue, moyenne sur quatre ans publiée par Eurostat sans drapeau de 2001 à 2025 (2,35 % en 2010, 0,02 % en 2017, 1,23 % en 2025), préférée à la valeur annuelle erratique (J3).</t>
        </is>
      </c>
      <c r="Q38" s="5" t="inlineStr">
        <is>
          <t>retenu</t>
        </is>
      </c>
      <c r="R38" s="7" t="inlineStr"/>
      <c r="S38" s="7" t="inlineStr"/>
    </row>
    <row r="39" ht="60" customHeight="1">
      <c r="A39" s="5" t="inlineStr">
        <is>
          <t>evenements_naturels_tres_graves</t>
        </is>
      </c>
      <c r="B39" s="6" t="inlineStr">
        <is>
          <t>evenements_naturels_tres_graves</t>
        </is>
      </c>
      <c r="C39" s="5" t="inlineStr">
        <is>
          <t>Nombre d'événements naturels très graves</t>
        </is>
      </c>
      <c r="D39" s="5" t="inlineStr">
        <is>
          <t>oui</t>
        </is>
      </c>
      <c r="E39" s="5" t="inlineStr">
        <is>
          <t>Nombre d'événements naturels (inondations, tempêtes, mouvements de terrain…) classés « très graves » dans l'année selon une échelle de gravité des dommages humains et matériels (indicateur national ODD 13.i1a ; seuils …</t>
        </is>
      </c>
      <c r="F39" s="5" t="inlineStr">
        <is>
          <t>bas</t>
        </is>
      </c>
      <c r="G39" s="5" t="inlineStr">
        <is>
          <t>nombre d'événements</t>
        </is>
      </c>
      <c r="H39" s="5" t="inlineStr">
        <is>
          <t>INSEE (indicateurs ODD nationaux) — ODD 13.i1a (BDM 010595977)</t>
        </is>
      </c>
      <c r="I39" s="5" t="inlineStr">
        <is>
          <t>010595977</t>
        </is>
      </c>
      <c r="J39" s="5" t="inlineStr">
        <is>
          <t>2010-2024 (15 points, annuelle)</t>
        </is>
      </c>
      <c r="K39" s="5" t="inlineStr">
        <is>
          <t>resultat</t>
        </is>
      </c>
      <c r="L39" s="5" t="inlineStr">
        <is>
          <t>non</t>
        </is>
      </c>
      <c r="M39" s="5" t="inlineStr">
        <is>
          <t>non</t>
        </is>
      </c>
      <c r="N39" s="5" t="inlineStr">
        <is>
          <t>non</t>
        </is>
      </c>
      <c r="O39" s="5" t="inlineStr">
        <is>
          <t>retenir</t>
        </is>
      </c>
      <c r="P39" s="5" t="inlineStr">
        <is>
          <t>Indicateur national ODD 13.i1a publié chaque année de 2010 à 2024 (15 points), seule mesure du nombre d'aléas majeurs subis (A14).</t>
        </is>
      </c>
      <c r="Q39" s="5" t="inlineStr">
        <is>
          <t>retenu</t>
        </is>
      </c>
      <c r="R39" s="7" t="inlineStr"/>
      <c r="S39" s="7" t="inlineStr"/>
    </row>
    <row r="40" ht="60" customHeight="1">
      <c r="A40" s="5" t="inlineStr">
        <is>
          <t>exploitation_forets</t>
        </is>
      </c>
      <c r="B40" s="6" t="inlineStr">
        <is>
          <t>intensite_exploitation_forets</t>
        </is>
      </c>
      <c r="C40" s="5" t="inlineStr">
        <is>
          <t>Intensité d'exploitation des forêts</t>
        </is>
      </c>
      <c r="D40" s="5" t="inlineStr">
        <is>
          <t>oui</t>
        </is>
      </c>
      <c r="E40" s="5" t="inlineStr">
        <is>
          <t>Intensité d'utilisation des ressources forestières publiée par l'OCDE (base des indicateurs ODD, objectif 15), c'est-à-dire le rapport entre les prélèvements de bois et l'accroissement annuel des forêts ; unité déclarée …</t>
        </is>
      </c>
      <c r="F40" s="5" t="inlineStr">
        <is>
          <t>bas</t>
        </is>
      </c>
      <c r="G40" s="5" t="inlineStr">
        <is>
          <t>rapport prélèvements / accroissement (unité déclarée : points de pourcentage)</t>
        </is>
      </c>
      <c r="H40" s="5" t="inlineStr">
        <is>
          <t>OCDE — Indicateurs ODD de l'OCDE, objectif 15, mesure 15_2_1_OECD (intensity of use of forest resources)</t>
        </is>
      </c>
      <c r="I40" s="5" t="inlineStr">
        <is>
          <t>odd_15 : 15_2_1_OECD._T._T._T._T._T.PD</t>
        </is>
      </c>
      <c r="J40" s="5" t="inlineStr">
        <is>
          <t>2002-2023 (18 points, annuelle)</t>
        </is>
      </c>
      <c r="K40" s="5" t="inlineStr">
        <is>
          <t>pression</t>
        </is>
      </c>
      <c r="L40" s="5" t="inlineStr">
        <is>
          <t>non</t>
        </is>
      </c>
      <c r="M40" s="5" t="inlineStr">
        <is>
          <t>non</t>
        </is>
      </c>
      <c r="N40" s="5" t="inlineStr">
        <is>
          <t>non</t>
        </is>
      </c>
      <c r="O40" s="5" t="inlineStr">
        <is>
          <t>retenir</t>
        </is>
      </c>
      <c r="P40" s="5" t="inlineStr">
        <is>
          <t>Seule mesure de la durabilité de l'exploitation forestière (prélèvements rapportés à la croissance), 18 points de 2002 à 2023 et dernière valeur 0,66 d'après l'extrait du robot M04.</t>
        </is>
      </c>
      <c r="Q40" s="5" t="inlineStr">
        <is>
          <t>retenu</t>
        </is>
      </c>
      <c r="R40" s="7" t="inlineStr"/>
      <c r="S40" s="7" t="inlineStr"/>
    </row>
    <row r="41" ht="60" customHeight="1">
      <c r="A41" s="5" t="inlineStr">
        <is>
          <t>exploitation_forets</t>
        </is>
      </c>
      <c r="B41" s="5" t="inlineStr">
        <is>
          <t>prelevements_bois</t>
        </is>
      </c>
      <c r="C41" s="5" t="inlineStr">
        <is>
          <t>Prélèvements de bois rond</t>
        </is>
      </c>
      <c r="D41" s="5" t="inlineStr">
        <is>
          <t>non</t>
        </is>
      </c>
      <c r="E41" s="5" t="inlineStr">
        <is>
          <t>Volume de bois rond (bois d'œuvre, d'industrie et de chauffage) prélevé dans les forêts françaises, sur écorce.</t>
        </is>
      </c>
      <c r="F41" s="5" t="inlineStr">
        <is>
          <t>ambigu</t>
        </is>
      </c>
      <c r="G41" s="5" t="inlineStr">
        <is>
          <t>milliers de mètres cubes sur écorce</t>
        </is>
      </c>
      <c r="H41" s="5" t="inlineStr">
        <is>
          <t>Eurostat — for_remov (bois rond : quantités enlevées par type de bois et assortiment)</t>
        </is>
      </c>
      <c r="I41" s="5" t="inlineStr">
        <is>
          <t>for_remov?freq=A&amp;treespec=TOTAL&amp;prod_wd=RW&amp;unit=THS_M3&amp;bark=OVBK&amp;geo=FR</t>
        </is>
      </c>
      <c r="J41" s="5" t="inlineStr">
        <is>
          <t>2000-2023 (24 points, annuelle)</t>
        </is>
      </c>
      <c r="K41" s="5" t="inlineStr">
        <is>
          <t>pression</t>
        </is>
      </c>
      <c r="L41" s="5" t="inlineStr">
        <is>
          <t>non</t>
        </is>
      </c>
      <c r="M41" s="5" t="inlineStr">
        <is>
          <t>non</t>
        </is>
      </c>
      <c r="N41" s="5" t="inlineStr">
        <is>
          <t>non</t>
        </is>
      </c>
      <c r="O41" s="5" t="inlineStr">
        <is>
          <t>ecarter</t>
        </is>
      </c>
      <c r="P41" s="5" t="inlineStr">
        <is>
          <t>Sens ambigu : un volume prélevé ne se juge que rapporté à l'accroissement des forêts, que mesure la fiche principale de la famille, alors que la série seule (77 136 milliers de m3 en 2000, 57 220 en 2023) n'est pas interprétable.</t>
        </is>
      </c>
      <c r="Q41" s="5" t="inlineStr">
        <is>
          <t>ecarte</t>
        </is>
      </c>
      <c r="R41" s="7" t="inlineStr"/>
      <c r="S41" s="7" t="inlineStr"/>
    </row>
    <row r="42" ht="60" customHeight="1">
      <c r="A42" s="5" t="inlineStr">
        <is>
          <t>exposition_animaux_antibiotiques</t>
        </is>
      </c>
      <c r="B42" s="6" t="inlineStr">
        <is>
          <t>exposition_animaux_antibiotiques</t>
        </is>
      </c>
      <c r="C42" s="5" t="inlineStr">
        <is>
          <t>Exposition des animaux d'élevage aux antibiotiques (ALEA)</t>
        </is>
      </c>
      <c r="D42" s="5" t="inlineStr">
        <is>
          <t>oui</t>
        </is>
      </c>
      <c r="E42" s="5" t="inlineStr">
        <is>
          <t>Indicateur d'exposition des animaux aux antibiotiques (ALEA) : poids vif traité rapporté à la masse animale potentiellement consommatrice, toutes espèces (indicateur national ODD 2.i5).</t>
        </is>
      </c>
      <c r="F42" s="5" t="inlineStr">
        <is>
          <t>bas</t>
        </is>
      </c>
      <c r="G42" s="5" t="inlineStr">
        <is>
          <t>% (poids vif traité / masse animale)</t>
        </is>
      </c>
      <c r="H42" s="5" t="inlineStr">
        <is>
          <t>INSEE (indicateurs ODD nationaux) — ODD 2.i5 (BDM 010599685)</t>
        </is>
      </c>
      <c r="I42" s="5" t="inlineStr">
        <is>
          <t>010599685</t>
        </is>
      </c>
      <c r="J42" s="5" t="inlineStr">
        <is>
          <t>2010-2024 (15 points, annuelle)</t>
        </is>
      </c>
      <c r="K42" s="5" t="inlineStr">
        <is>
          <t>pression</t>
        </is>
      </c>
      <c r="L42" s="5" t="inlineStr">
        <is>
          <t>non</t>
        </is>
      </c>
      <c r="M42" s="5" t="inlineStr">
        <is>
          <t>non</t>
        </is>
      </c>
      <c r="N42" s="5" t="inlineStr">
        <is>
          <t>non</t>
        </is>
      </c>
      <c r="O42" s="5" t="inlineStr">
        <is>
          <t>retenir</t>
        </is>
      </c>
      <c r="P42" s="5" t="inlineStr">
        <is>
          <t>Indicateur national ODD 2.i5 publié chaque année de 2010 à 2024 (15 points), seule mesure d'un intrant chimique de l'élevage au catalogue.</t>
        </is>
      </c>
      <c r="Q42" s="5" t="inlineStr">
        <is>
          <t>retenu</t>
        </is>
      </c>
      <c r="R42" s="7" t="inlineStr"/>
      <c r="S42" s="7" t="inlineStr"/>
    </row>
    <row r="43" ht="60" customHeight="1">
      <c r="A43" s="5" t="inlineStr">
        <is>
          <t>flux_azote_mer</t>
        </is>
      </c>
      <c r="B43" s="6" t="inlineStr">
        <is>
          <t>flux_azote_mer</t>
        </is>
      </c>
      <c r="C43" s="5" t="inlineStr">
        <is>
          <t>Apports d'azote (nitrates) des fleuves à la mer</t>
        </is>
      </c>
      <c r="D43" s="5" t="inlineStr">
        <is>
          <t>oui</t>
        </is>
      </c>
      <c r="E43" s="5" t="inlineStr">
        <is>
          <t>Flux annuel d'azote lié aux nitrates apporté à la mer par les cours d'eau, toutes façades de France métropolitaine (indicateur national ODD 14.i3a).</t>
        </is>
      </c>
      <c r="F43" s="5" t="inlineStr">
        <is>
          <t>bas</t>
        </is>
      </c>
      <c r="G43" s="5" t="inlineStr">
        <is>
          <t>milliers de tonnes par an</t>
        </is>
      </c>
      <c r="H43" s="5" t="inlineStr">
        <is>
          <t>INSEE (indicateurs ODD nationaux) — ODD 14.i3a (BDM 010596774)</t>
        </is>
      </c>
      <c r="I43" s="5" t="inlineStr">
        <is>
          <t>010596774</t>
        </is>
      </c>
      <c r="J43" s="5" t="inlineStr">
        <is>
          <t>2010-2021 (12 points, annuelle)</t>
        </is>
      </c>
      <c r="K43" s="5" t="inlineStr">
        <is>
          <t>pression</t>
        </is>
      </c>
      <c r="L43" s="5" t="inlineStr">
        <is>
          <t>non</t>
        </is>
      </c>
      <c r="M43" s="5" t="inlineStr">
        <is>
          <t>non</t>
        </is>
      </c>
      <c r="N43" s="5" t="inlineStr">
        <is>
          <t>non</t>
        </is>
      </c>
      <c r="O43" s="5" t="inlineStr">
        <is>
          <t>retenir</t>
        </is>
      </c>
      <c r="P43" s="5" t="inlineStr">
        <is>
          <t>Indicateur national ODD des apports d'azote au milieu marin, série de 2010 à 2021 pour le total (12 points) et jusqu'en 2023 pour la Manche et l'Atlantique.</t>
        </is>
      </c>
      <c r="Q43" s="5" t="inlineStr">
        <is>
          <t>retenu</t>
        </is>
      </c>
      <c r="R43" s="7" t="inlineStr"/>
      <c r="S43" s="7" t="inlineStr"/>
    </row>
    <row r="44" ht="60" customHeight="1">
      <c r="A44" s="5" t="inlineStr">
        <is>
          <t>flux_phosphore_mer</t>
        </is>
      </c>
      <c r="B44" s="6" t="inlineStr">
        <is>
          <t>flux_phosphore_mer</t>
        </is>
      </c>
      <c r="C44" s="5" t="inlineStr">
        <is>
          <t>Apports de phosphore des fleuves à la mer</t>
        </is>
      </c>
      <c r="D44" s="5" t="inlineStr">
        <is>
          <t>oui</t>
        </is>
      </c>
      <c r="E44" s="5" t="inlineStr">
        <is>
          <t>Flux annuel de phosphore apporté à la mer par les cours d'eau, toutes façades de France métropolitaine (indicateur national ODD 14.i3b).</t>
        </is>
      </c>
      <c r="F44" s="5" t="inlineStr">
        <is>
          <t>bas</t>
        </is>
      </c>
      <c r="G44" s="5" t="inlineStr">
        <is>
          <t>milliers de tonnes par an</t>
        </is>
      </c>
      <c r="H44" s="5" t="inlineStr">
        <is>
          <t>INSEE (indicateurs ODD nationaux) — ODD 14.i3b (BDM 010596782)</t>
        </is>
      </c>
      <c r="I44" s="5" t="inlineStr">
        <is>
          <t>010596782</t>
        </is>
      </c>
      <c r="J44" s="5" t="inlineStr">
        <is>
          <t>2010-2021 (12 points, annuelle)</t>
        </is>
      </c>
      <c r="K44" s="5" t="inlineStr">
        <is>
          <t>pression</t>
        </is>
      </c>
      <c r="L44" s="5" t="inlineStr">
        <is>
          <t>non</t>
        </is>
      </c>
      <c r="M44" s="5" t="inlineStr">
        <is>
          <t>non</t>
        </is>
      </c>
      <c r="N44" s="5" t="inlineStr">
        <is>
          <t>non</t>
        </is>
      </c>
      <c r="O44" s="5" t="inlineStr">
        <is>
          <t>retenir</t>
        </is>
      </c>
      <c r="P44" s="5" t="inlineStr">
        <is>
          <t>Indicateur national ODD des apports de phosphore au milieu marin, série de 2010 à 2021 pour le total (12 points) et jusqu'en 2023 pour la Manche et l'Atlantique.</t>
        </is>
      </c>
      <c r="Q44" s="5" t="inlineStr">
        <is>
          <t>retenu</t>
        </is>
      </c>
      <c r="R44" s="7" t="inlineStr"/>
      <c r="S44" s="7" t="inlineStr"/>
    </row>
    <row r="45" ht="60" customHeight="1">
      <c r="A45" s="5" t="inlineStr">
        <is>
          <t>indice_liste_rouge</t>
        </is>
      </c>
      <c r="B45" s="6" t="inlineStr">
        <is>
          <t>indice_liste_rouge</t>
        </is>
      </c>
      <c r="C45" s="5" t="inlineStr">
        <is>
          <t>Indice Liste rouge des espèces menacées</t>
        </is>
      </c>
      <c r="D45" s="5" t="inlineStr">
        <is>
          <t>oui</t>
        </is>
      </c>
      <c r="E45" s="5" t="inlineStr">
        <is>
          <t>Indice agrégé du risque d'extinction des espèces (Union internationale pour la conservation de la nature), de 0 (toutes les espèces éteintes) à 1 (aucune espèce menacée), décliné pour la France (indicateur ODD 15.5.1, …</t>
        </is>
      </c>
      <c r="F45" s="5" t="inlineStr">
        <is>
          <t>haut</t>
        </is>
      </c>
      <c r="G45" s="5" t="inlineStr">
        <is>
          <t>indice (0 à 1)</t>
        </is>
      </c>
      <c r="H45" s="5" t="inlineStr">
        <is>
          <t>OCDE (How's Life?, d'après l'UICN) — How's Life? (capital naturel), mesure 12_7</t>
        </is>
      </c>
      <c r="I45" s="5" t="inlineStr">
        <is>
          <t>OECD.WISE.WDP,DSD_HSL@DF_HSL_FWB,1.1 MEASURE=12_7 UNIT_MEASURE=IX</t>
        </is>
      </c>
      <c r="J45" s="5" t="inlineStr">
        <is>
          <t>2004-2025 (22 points, annuelle)</t>
        </is>
      </c>
      <c r="K45" s="5" t="inlineStr">
        <is>
          <t>resultat</t>
        </is>
      </c>
      <c r="L45" s="5" t="inlineStr">
        <is>
          <t>non</t>
        </is>
      </c>
      <c r="M45" s="5" t="inlineStr">
        <is>
          <t>non</t>
        </is>
      </c>
      <c r="N45" s="5" t="inlineStr">
        <is>
          <t>non</t>
        </is>
      </c>
      <c r="O45" s="5" t="inlineStr">
        <is>
          <t>retenir</t>
        </is>
      </c>
      <c r="P45" s="5" t="inlineStr">
        <is>
          <t>Indicateur ODD 15.5.1 du risque d'extinction, série OCDE How's Life annuelle de 2004 à 2025 publiée à quatre décimales (22 valeurs distinctes, 0,8426 en 2025), préférée à la base ODD de l'OCDE arrondie à deux décimales (J4).</t>
        </is>
      </c>
      <c r="Q45" s="5" t="inlineStr">
        <is>
          <t>retenu</t>
        </is>
      </c>
      <c r="R45" s="7" t="inlineStr"/>
      <c r="S45" s="7" t="inlineStr"/>
    </row>
    <row r="46" ht="60" customHeight="1">
      <c r="A46" s="5" t="inlineStr">
        <is>
          <t>nitrates_eaux_souterraines</t>
        </is>
      </c>
      <c r="B46" s="6" t="inlineStr">
        <is>
          <t>nitrates_eaux_souterraines</t>
        </is>
      </c>
      <c r="C46" s="5" t="inlineStr">
        <is>
          <t>Teneur moyenne en nitrates des eaux souterraines</t>
        </is>
      </c>
      <c r="D46" s="5" t="inlineStr">
        <is>
          <t>oui</t>
        </is>
      </c>
      <c r="E46" s="5" t="inlineStr">
        <is>
          <t>Concentration moyenne en nitrates des eaux souterraines sur les stations de mesure retenues, en milligrammes par litre (indicateur ODD de l'UE).</t>
        </is>
      </c>
      <c r="F46" s="5" t="inlineStr">
        <is>
          <t>bas</t>
        </is>
      </c>
      <c r="G46" s="5" t="inlineStr">
        <is>
          <t>mg/l</t>
        </is>
      </c>
      <c r="H46" s="5" t="inlineStr">
        <is>
          <t>Eurostat — sdg_06_40 (teneur en nitrate dans l'eau souterraine)</t>
        </is>
      </c>
      <c r="I46" s="5" t="inlineStr">
        <is>
          <t>sdg_06_40?freq=A&amp;watpol=NO3_GW&amp;unit=MG_L&amp;geo=FR</t>
        </is>
      </c>
      <c r="J46" s="5" t="inlineStr">
        <is>
          <t>2007-2023 (17 points, annuelle)</t>
        </is>
      </c>
      <c r="K46" s="5" t="inlineStr">
        <is>
          <t>resultat</t>
        </is>
      </c>
      <c r="L46" s="5" t="inlineStr">
        <is>
          <t>non</t>
        </is>
      </c>
      <c r="M46" s="5" t="inlineStr">
        <is>
          <t>non</t>
        </is>
      </c>
      <c r="N46" s="5" t="inlineStr">
        <is>
          <t>non</t>
        </is>
      </c>
      <c r="O46" s="5" t="inlineStr">
        <is>
          <t>retenir</t>
        </is>
      </c>
      <c r="P46" s="5" t="inlineStr">
        <is>
          <t>Seule mesure annuelle de la qualité des nappes au catalogue, série Eurostat sans drapeau de 2007 à 2023 (17 points).</t>
        </is>
      </c>
      <c r="Q46" s="5" t="inlineStr">
        <is>
          <t>retenu</t>
        </is>
      </c>
      <c r="R46" s="7" t="inlineStr"/>
      <c r="S46" s="7" t="inlineStr"/>
    </row>
    <row r="47" ht="60" customHeight="1">
      <c r="A47" s="5" t="inlineStr">
        <is>
          <t>oiseaux_communs_specialistes</t>
        </is>
      </c>
      <c r="B47" s="6" t="inlineStr">
        <is>
          <t>oiseaux_communs_specialistes</t>
        </is>
      </c>
      <c r="C47" s="5" t="inlineStr">
        <is>
          <t>Abondance des oiseaux communs spécialistes</t>
        </is>
      </c>
      <c r="D47" s="5" t="inlineStr">
        <is>
          <t>oui</t>
        </is>
      </c>
      <c r="E47" s="5" t="inlineStr">
        <is>
          <t>Indice d'abondance des populations d'oiseaux communs spécialistes de leur milieu (agricole, forestier, bâti), base 100 en 1989, France métropolitaine, issu du suivi temporel des oiseaux communs (indicateur national ODD …</t>
        </is>
      </c>
      <c r="F47" s="5" t="inlineStr">
        <is>
          <t>haut</t>
        </is>
      </c>
      <c r="G47" s="5" t="inlineStr">
        <is>
          <t>indice (base 100 en 1989)</t>
        </is>
      </c>
      <c r="H47" s="5" t="inlineStr">
        <is>
          <t>INSEE (indicateurs ODD nationaux) — ODD 15.i6a (BDM 010596708)</t>
        </is>
      </c>
      <c r="I47" s="5" t="inlineStr">
        <is>
          <t>010596708</t>
        </is>
      </c>
      <c r="J47" s="5" t="inlineStr">
        <is>
          <t>2010-2024 (15 points, annuelle)</t>
        </is>
      </c>
      <c r="K47" s="5" t="inlineStr">
        <is>
          <t>resultat</t>
        </is>
      </c>
      <c r="L47" s="5" t="inlineStr">
        <is>
          <t>non</t>
        </is>
      </c>
      <c r="M47" s="5" t="inlineStr">
        <is>
          <t>non</t>
        </is>
      </c>
      <c r="N47" s="5" t="inlineStr">
        <is>
          <t>non</t>
        </is>
      </c>
      <c r="O47" s="5" t="inlineStr">
        <is>
          <t>retenir</t>
        </is>
      </c>
      <c r="P47" s="5" t="inlineStr">
        <is>
          <t>Seule mesure annuelle de l'état de la biodiversité ordinaire au catalogue national, indicateur ODD 15.i6a publié de 2010 à 2024 (15 points).</t>
        </is>
      </c>
      <c r="Q47" s="5" t="inlineStr">
        <is>
          <t>retenu</t>
        </is>
      </c>
      <c r="R47" s="7" t="inlineStr"/>
      <c r="S47" s="7" t="inlineStr"/>
    </row>
    <row r="48" ht="60" customHeight="1">
      <c r="A48" s="5" t="inlineStr">
        <is>
          <t>ozone_vegetation</t>
        </is>
      </c>
      <c r="B48" s="6" t="inlineStr">
        <is>
          <t>ozone_vegetation</t>
        </is>
      </c>
      <c r="C48" s="5" t="inlineStr">
        <is>
          <t>Part des stations rurales dépassant la valeur cible d'ozone pour la protection de la végétation</t>
        </is>
      </c>
      <c r="D48" s="5" t="inlineStr">
        <is>
          <t>oui</t>
        </is>
      </c>
      <c r="E48" s="5" t="inlineStr">
        <is>
          <t>Part des stations de mesure de fond en milieu rural où la valeur cible réglementaire d'ozone pour la protection de la végétation est dépassée, en moyenne glissante pluriannuelle (SDES, base Geod'air).</t>
        </is>
      </c>
      <c r="F48" s="5" t="inlineStr">
        <is>
          <t>bas</t>
        </is>
      </c>
      <c r="G48" s="5" t="inlineStr">
        <is>
          <t>% des stations rurales</t>
        </is>
      </c>
      <c r="H48" s="5" t="inlineStr">
        <is>
          <t>SDES (qualité de l'air, plateforme DiDo) — Dépassements de la valeur cible d'ozone pour la protection de la végétation, stations de fond rural</t>
        </is>
      </c>
      <c r="I48" s="5" t="inlineStr">
        <is>
          <t>https://data.statistiques.developpement-durable.gouv.fr/dido/api/v1/datafiles/6bcf0cf8-c721-4de9-a964-f040cb2798ab/csv (O3.Fond_rural)</t>
        </is>
      </c>
      <c r="J48" s="5" t="inlineStr">
        <is>
          <t>2002-2024 (23 points, annuelle)</t>
        </is>
      </c>
      <c r="K48" s="5" t="inlineStr">
        <is>
          <t>resultat</t>
        </is>
      </c>
      <c r="L48" s="5" t="inlineStr">
        <is>
          <t>non</t>
        </is>
      </c>
      <c r="M48" s="5" t="inlineStr">
        <is>
          <t>non</t>
        </is>
      </c>
      <c r="N48" s="5" t="inlineStr">
        <is>
          <t>non</t>
        </is>
      </c>
      <c r="O48" s="5" t="inlineStr">
        <is>
          <t>retenir</t>
        </is>
      </c>
      <c r="P48" s="5" t="inlineStr">
        <is>
          <t>Seule mesure de l'effet de la pollution de l'air sur la végétation, série SDES de 2002 à 2024 (23 périodes glissantes), 7,69 % des stations rurales sur 2020-2024 d'après l'extrait du robot M04.</t>
        </is>
      </c>
      <c r="Q48" s="5" t="inlineStr">
        <is>
          <t>retenu</t>
        </is>
      </c>
      <c r="R48" s="7" t="inlineStr"/>
      <c r="S48" s="7" t="inlineStr"/>
    </row>
    <row r="49" ht="60" customHeight="1">
      <c r="A49" s="5" t="inlineStr">
        <is>
          <t>part_agriculture_biologique</t>
        </is>
      </c>
      <c r="B49" s="6" t="inlineStr">
        <is>
          <t>part_agriculture_biologique</t>
        </is>
      </c>
      <c r="C49" s="5" t="inlineStr">
        <is>
          <t>Part de la surface agricole en agriculture biologique</t>
        </is>
      </c>
      <c r="D49" s="5" t="inlineStr">
        <is>
          <t>oui</t>
        </is>
      </c>
      <c r="E49" s="5" t="inlineStr">
        <is>
          <t>Part de la surface agricole utilisée cultivée en agriculture biologique, d'après l'Agence Bio (indicateurs territoriaux de développement durable ; prise en compte des surfaces en conversion : à vérifier).</t>
        </is>
      </c>
      <c r="F49" s="5" t="inlineStr">
        <is>
          <t>haut</t>
        </is>
      </c>
      <c r="G49" s="5" t="inlineStr">
        <is>
          <t>% de la SAU</t>
        </is>
      </c>
      <c r="H49" s="5" t="inlineStr">
        <is>
          <t>SDES-INSEE (données de l'Agence Bio) — Indicateurs territoriaux de développement durable, fichier France entière (DiDo), variable part_agribio_surf</t>
        </is>
      </c>
      <c r="I49" s="5" t="inlineStr">
        <is>
          <t>DiDo SDES rid 305ea0e3-269b-47ee-bab5-7553fec6f010 (variable part_agribio_surf)</t>
        </is>
      </c>
      <c r="J49" s="5" t="inlineStr">
        <is>
          <t>2000-2024 (25 points, annuelle)</t>
        </is>
      </c>
      <c r="K49" s="5" t="inlineStr">
        <is>
          <t>moyen</t>
        </is>
      </c>
      <c r="L49" s="5" t="inlineStr">
        <is>
          <t>non</t>
        </is>
      </c>
      <c r="M49" s="5" t="inlineStr">
        <is>
          <t>non</t>
        </is>
      </c>
      <c r="N49" s="5" t="inlineStr">
        <is>
          <t>non</t>
        </is>
      </c>
      <c r="O49" s="5" t="inlineStr">
        <is>
          <t>retenir</t>
        </is>
      </c>
      <c r="P49" s="5" t="inlineStr">
        <is>
          <t>Moyen admis (D19) adossé à la cible d'environ 21 % en 2030 de la SNBC 3, série nationale de 2000 à 2024 (25 points), 10,11 % en 2024 d'après l'extrait du robot M04.</t>
        </is>
      </c>
      <c r="Q49" s="5" t="inlineStr">
        <is>
          <t>retenu</t>
        </is>
      </c>
      <c r="R49" s="7" t="inlineStr"/>
      <c r="S49" s="7" t="inlineStr"/>
    </row>
    <row r="50" ht="60" customHeight="1">
      <c r="A50" s="5" t="inlineStr">
        <is>
          <t>part_energies_fossiles</t>
        </is>
      </c>
      <c r="B50" s="6" t="inlineStr">
        <is>
          <t>part_energies_fossiles</t>
        </is>
      </c>
      <c r="C50" s="5" t="inlineStr">
        <is>
          <t>Part des combustibles fossiles dans l'énergie disponible brute</t>
        </is>
      </c>
      <c r="D50" s="5" t="inlineStr">
        <is>
          <t>oui</t>
        </is>
      </c>
      <c r="E50" s="5" t="inlineStr">
        <is>
          <t>Part du charbon, du pétrole, du gaz naturel et des autres combustibles fossiles dans l'énergie disponible brute du pays.</t>
        </is>
      </c>
      <c r="F50" s="5" t="inlineStr">
        <is>
          <t>bas</t>
        </is>
      </c>
      <c r="G50" s="5" t="inlineStr">
        <is>
          <t>%</t>
        </is>
      </c>
      <c r="H50" s="5" t="inlineStr">
        <is>
          <t>Eurostat — nrg_ind_ffgae (part des combustibles fossiles dans l'énergie disponible brute)</t>
        </is>
      </c>
      <c r="I50" s="5" t="inlineStr">
        <is>
          <t>nrg_ind_ffgae?freq=A&amp;unit=PC&amp;geo=FR</t>
        </is>
      </c>
      <c r="J50" s="5" t="inlineStr">
        <is>
          <t>2000-2024 (25 points, annuelle)</t>
        </is>
      </c>
      <c r="K50" s="5" t="inlineStr">
        <is>
          <t>pression</t>
        </is>
      </c>
      <c r="L50" s="5" t="inlineStr">
        <is>
          <t>non</t>
        </is>
      </c>
      <c r="M50" s="5" t="inlineStr">
        <is>
          <t>non</t>
        </is>
      </c>
      <c r="N50" s="5" t="inlineStr">
        <is>
          <t>non</t>
        </is>
      </c>
      <c r="O50" s="5" t="inlineStr">
        <is>
          <t>retenir</t>
        </is>
      </c>
      <c r="P50" s="5" t="inlineStr">
        <is>
          <t>Mesure directe de la dépendance aux énergies fossiles visée par l'article L100-4, série Eurostat sans drapeau de 2000 à 2024 (54,89 % en 2000, 46,99 % en 2024).</t>
        </is>
      </c>
      <c r="Q50" s="5" t="inlineStr">
        <is>
          <t>retenu</t>
        </is>
      </c>
      <c r="R50" s="7" t="inlineStr"/>
      <c r="S50" s="7" t="inlineStr"/>
    </row>
    <row r="51" ht="60" customHeight="1">
      <c r="A51" s="5" t="inlineStr">
        <is>
          <t>part_energies_renouvelables</t>
        </is>
      </c>
      <c r="B51" s="6" t="inlineStr">
        <is>
          <t>part_energies_renouvelables</t>
        </is>
      </c>
      <c r="C51" s="5" t="inlineStr">
        <is>
          <t>Part des énergies renouvelables dans la consommation finale brute d'énergie</t>
        </is>
      </c>
      <c r="D51" s="5" t="inlineStr">
        <is>
          <t>oui</t>
        </is>
      </c>
      <c r="E51" s="5" t="inlineStr">
        <is>
          <t>Part de l'énergie produite à partir de sources renouvelables dans la consommation finale brute d'énergie, selon la méthode de la directive européenne relative aux énergies renouvelables.</t>
        </is>
      </c>
      <c r="F51" s="5" t="inlineStr">
        <is>
          <t>haut</t>
        </is>
      </c>
      <c r="G51" s="5" t="inlineStr">
        <is>
          <t>%</t>
        </is>
      </c>
      <c r="H51" s="5" t="inlineStr">
        <is>
          <t>Eurostat — sdg_07_40 (part des énergies renouvelables dans la consommation finale brute)</t>
        </is>
      </c>
      <c r="I51" s="5" t="inlineStr">
        <is>
          <t>sdg_07_40?freq=A&amp;nrg_bal=REN&amp;unit=PC&amp;geo=FR</t>
        </is>
      </c>
      <c r="J51" s="5" t="inlineStr">
        <is>
          <t>2004-2025 (22 points, annuelle)</t>
        </is>
      </c>
      <c r="K51" s="5" t="inlineStr">
        <is>
          <t>moyen</t>
        </is>
      </c>
      <c r="L51" s="5" t="inlineStr">
        <is>
          <t>non</t>
        </is>
      </c>
      <c r="M51" s="5" t="inlineStr">
        <is>
          <t>non</t>
        </is>
      </c>
      <c r="N51" s="5" t="inlineStr">
        <is>
          <t>non</t>
        </is>
      </c>
      <c r="O51" s="5" t="inlineStr">
        <is>
          <t>retenir</t>
        </is>
      </c>
      <c r="P51" s="5" t="inlineStr">
        <is>
          <t>Indicateur de moyens admis (D19) adossé à la cible de 33 % en 2030 de l'article L100-4 (texte à vérifier, Q-F), série Eurostat de 2004 à 2025 passée de 9,3 % à 23,9 % (2025 provisoire).</t>
        </is>
      </c>
      <c r="Q51" s="5" t="inlineStr">
        <is>
          <t>retenu</t>
        </is>
      </c>
      <c r="R51" s="7" t="inlineStr"/>
      <c r="S51" s="7" t="inlineStr"/>
    </row>
    <row r="52" ht="60" customHeight="1">
      <c r="A52" s="5" t="inlineStr">
        <is>
          <t>part_modale_fret_routier</t>
        </is>
      </c>
      <c r="B52" s="6" t="inlineStr">
        <is>
          <t>part_modale_fret_routier</t>
        </is>
      </c>
      <c r="C52" s="5" t="inlineStr">
        <is>
          <t>Part de la route dans le transport intérieur de marchandises</t>
        </is>
      </c>
      <c r="D52" s="5" t="inlineStr">
        <is>
          <t>oui</t>
        </is>
      </c>
      <c r="E52" s="5" t="inlineStr">
        <is>
          <t>Part du transport routier dans les tonnes-kilomètres du transport intérieur terrestre de marchandises (route, fer, voies navigables), France métropolitaine (indicateur national ODD 9.i1b).</t>
        </is>
      </c>
      <c r="F52" s="5" t="inlineStr">
        <is>
          <t>bas</t>
        </is>
      </c>
      <c r="G52" s="5" t="inlineStr">
        <is>
          <t>% des tonnes-kilomètres</t>
        </is>
      </c>
      <c r="H52" s="5" t="inlineStr">
        <is>
          <t>INSEE (indicateurs ODD nationaux) — ODD 9.i1b (BDM 010751587)</t>
        </is>
      </c>
      <c r="I52" s="5" t="inlineStr">
        <is>
          <t>010751587</t>
        </is>
      </c>
      <c r="J52" s="5" t="inlineStr">
        <is>
          <t>2010-2024 (15 points, annuelle)</t>
        </is>
      </c>
      <c r="K52" s="5" t="inlineStr">
        <is>
          <t>moyen</t>
        </is>
      </c>
      <c r="L52" s="5" t="inlineStr">
        <is>
          <t>non</t>
        </is>
      </c>
      <c r="M52" s="5" t="inlineStr">
        <is>
          <t>non</t>
        </is>
      </c>
      <c r="N52" s="5" t="inlineStr">
        <is>
          <t>non</t>
        </is>
      </c>
      <c r="O52" s="5" t="inlineStr">
        <is>
          <t>retenir</t>
        </is>
      </c>
      <c r="P52" s="5" t="inlineStr">
        <is>
          <t>Indicateur national ODD de report modal publié chaque année de 2010 à 2024 (15 points), seule mesure de la structure du transport de marchandises au catalogue.</t>
        </is>
      </c>
      <c r="Q52" s="5" t="inlineStr">
        <is>
          <t>retenu</t>
        </is>
      </c>
      <c r="R52" s="7" t="inlineStr"/>
      <c r="S52" s="7" t="inlineStr"/>
    </row>
    <row r="53" ht="60" customHeight="1">
      <c r="A53" s="5" t="inlineStr">
        <is>
          <t>part_vehicules_electriques_neufs</t>
        </is>
      </c>
      <c r="B53" s="6" t="inlineStr">
        <is>
          <t>part_vehicules_electriques_neufs</t>
        </is>
      </c>
      <c r="C53" s="5" t="inlineStr">
        <is>
          <t>Part des voitures électriques dans les immatriculations neuves</t>
        </is>
      </c>
      <c r="D53" s="5" t="inlineStr">
        <is>
          <t>oui</t>
        </is>
      </c>
      <c r="E53" s="5" t="inlineStr">
        <is>
          <t>Part des voitures particulières électriques dans les immatriculations de voitures particulières neuves de l'année, France entière (indicateur national ODD ; prise en compte des hybrides rechargeables : à vérifier).</t>
        </is>
      </c>
      <c r="F53" s="5" t="inlineStr">
        <is>
          <t>haut</t>
        </is>
      </c>
      <c r="G53" s="5" t="inlineStr">
        <is>
          <t>% des immatriculations neuves</t>
        </is>
      </c>
      <c r="H53" s="5" t="inlineStr">
        <is>
          <t>INSEE (indicateurs ODD nationaux) — BDM 010775965</t>
        </is>
      </c>
      <c r="I53" s="5" t="inlineStr">
        <is>
          <t>010775965</t>
        </is>
      </c>
      <c r="J53" s="5" t="inlineStr">
        <is>
          <t>2013-2024 (12 points, annuelle)</t>
        </is>
      </c>
      <c r="K53" s="5" t="inlineStr">
        <is>
          <t>moyen</t>
        </is>
      </c>
      <c r="L53" s="5" t="inlineStr">
        <is>
          <t>non</t>
        </is>
      </c>
      <c r="M53" s="5" t="inlineStr">
        <is>
          <t>non</t>
        </is>
      </c>
      <c r="N53" s="5" t="inlineStr">
        <is>
          <t>non</t>
        </is>
      </c>
      <c r="O53" s="5" t="inlineStr">
        <is>
          <t>retenir</t>
        </is>
      </c>
      <c r="P53" s="5" t="inlineStr">
        <is>
          <t>Levier de décarbonation des transports admis comme moyen (D19), série INSEE annuelle de 2013 à 2024 (12 points) en France entière.</t>
        </is>
      </c>
      <c r="Q53" s="5" t="inlineStr">
        <is>
          <t>retenu</t>
        </is>
      </c>
      <c r="R53" s="7" t="inlineStr"/>
      <c r="S53" s="7" t="inlineStr"/>
    </row>
    <row r="54" ht="60" customHeight="1">
      <c r="A54" s="5" t="inlineStr">
        <is>
          <t>pertes_economiques_climat</t>
        </is>
      </c>
      <c r="B54" s="6" t="inlineStr">
        <is>
          <t>pertes_economiques_climat</t>
        </is>
      </c>
      <c r="C54" s="5" t="inlineStr">
        <is>
          <t>Pertes économiques dues aux événements météorologiques et climatiques extrêmes</t>
        </is>
      </c>
      <c r="D54" s="5" t="inlineStr">
        <is>
          <t>oui</t>
        </is>
      </c>
      <c r="E54" s="5" t="inlineStr">
        <is>
          <t>Pertes économiques annuelles causées par les phénomènes météorologiques et climatiques extrêmes, en euros par habitant aux prix constants (indicateur ODD 13.40 de l'UE).</t>
        </is>
      </c>
      <c r="F54" s="5" t="inlineStr">
        <is>
          <t>bas</t>
        </is>
      </c>
      <c r="G54" s="5" t="inlineStr">
        <is>
          <t>euros par habitant (prix constants)</t>
        </is>
      </c>
      <c r="H54" s="5" t="inlineStr">
        <is>
          <t>Eurostat — sdg_13_40 (pertes économiques provoquées par les phénomènes météorologiques et climatiques extrêmes)</t>
        </is>
      </c>
      <c r="I54" s="5" t="inlineStr">
        <is>
          <t>sdg_13_40?freq=A&amp;statinfo=VAL_A&amp;unit=EUR_HAB_KP&amp;stk_flow=LOSS&amp;geo=FR</t>
        </is>
      </c>
      <c r="J54" s="5" t="inlineStr">
        <is>
          <t>2000-2024 (25 points, annuelle)</t>
        </is>
      </c>
      <c r="K54" s="5" t="inlineStr">
        <is>
          <t>resultat</t>
        </is>
      </c>
      <c r="L54" s="5" t="inlineStr">
        <is>
          <t>non</t>
        </is>
      </c>
      <c r="M54" s="5" t="inlineStr">
        <is>
          <t>non</t>
        </is>
      </c>
      <c r="N54" s="5" t="inlineStr">
        <is>
          <t>non</t>
        </is>
      </c>
      <c r="O54" s="5" t="inlineStr">
        <is>
          <t>retenir</t>
        </is>
      </c>
      <c r="P54" s="5" t="inlineStr">
        <is>
          <t>Seule mesure monétaire des aléas climatiques subis (A14), série Eurostat sans drapeau de 2000 à 2024, très variable (130,75 € par habitant en 2022, 28,33 € en 2024).</t>
        </is>
      </c>
      <c r="Q54" s="5" t="inlineStr">
        <is>
          <t>retenu</t>
        </is>
      </c>
      <c r="R54" s="7" t="inlineStr"/>
      <c r="S54" s="7" t="inlineStr"/>
    </row>
    <row r="55" ht="60" customHeight="1">
      <c r="A55" s="5" t="inlineStr">
        <is>
          <t>pesticides_rivieres</t>
        </is>
      </c>
      <c r="B55" s="6" t="inlineStr">
        <is>
          <t>pesticides_rivieres</t>
        </is>
      </c>
      <c r="C55" s="5" t="inlineStr">
        <is>
          <t>Part des masses d'eau où les pesticides dépassent les seuils de toxicité</t>
        </is>
      </c>
      <c r="D55" s="5" t="inlineStr">
        <is>
          <t>oui</t>
        </is>
      </c>
      <c r="E55" s="5" t="inlineStr">
        <is>
          <t>Part des masses d'eau déclarées où la concentration de pesticides (substances actives des produits phytopharmaceutiques et biocides, métabolites pertinents) dépasse des seuils fondés sur les normes de qualité …</t>
        </is>
      </c>
      <c r="F55" s="5" t="inlineStr">
        <is>
          <t>bas</t>
        </is>
      </c>
      <c r="G55" s="5" t="inlineStr">
        <is>
          <t>% des masses d'eau déclarées</t>
        </is>
      </c>
      <c r="H55" s="5" t="inlineStr">
        <is>
          <t>Eurostat — sdg_06_70 (pesticides dans les rivières)</t>
        </is>
      </c>
      <c r="I55" s="5" t="inlineStr">
        <is>
          <t>sdg_06_70?freq=A&amp;unit=PC&amp;geo=FR</t>
        </is>
      </c>
      <c r="J55" s="5" t="inlineStr">
        <is>
          <t>2013-2023 (11 points, annuelle)</t>
        </is>
      </c>
      <c r="K55" s="5" t="inlineStr">
        <is>
          <t>resultat</t>
        </is>
      </c>
      <c r="L55" s="5" t="inlineStr">
        <is>
          <t>non</t>
        </is>
      </c>
      <c r="M55" s="5" t="inlineStr">
        <is>
          <t>non</t>
        </is>
      </c>
      <c r="N55" s="5" t="inlineStr">
        <is>
          <t>non</t>
        </is>
      </c>
      <c r="O55" s="5" t="inlineStr">
        <is>
          <t>retenir</t>
        </is>
      </c>
      <c r="P55" s="5" t="inlineStr">
        <is>
          <t>Seule mesure de la contamination des rivières par les pesticides au catalogue, série Eurostat sans drapeau de 2013 à 2023 (11 points), comprise entre 17,4 % (2022) et 35,2 % (2023).</t>
        </is>
      </c>
      <c r="Q55" s="5" t="inlineStr">
        <is>
          <t>retenu</t>
        </is>
      </c>
      <c r="R55" s="7" t="inlineStr"/>
      <c r="S55" s="7" t="inlineStr"/>
    </row>
    <row r="56" ht="60" customHeight="1">
      <c r="A56" s="5" t="inlineStr">
        <is>
          <t>phosphates_rivieres</t>
        </is>
      </c>
      <c r="B56" s="6" t="inlineStr">
        <is>
          <t>phosphates_rivieres</t>
        </is>
      </c>
      <c r="C56" s="5" t="inlineStr">
        <is>
          <t>Teneur moyenne en phosphates des rivières</t>
        </is>
      </c>
      <c r="D56" s="5" t="inlineStr">
        <is>
          <t>oui</t>
        </is>
      </c>
      <c r="E56" s="5" t="inlineStr">
        <is>
          <t>Concentration moyenne en phosphates des cours d'eau sur les stations de mesure retenues, en milligrammes par litre (indicateur ODD de l'UE).</t>
        </is>
      </c>
      <c r="F56" s="5" t="inlineStr">
        <is>
          <t>bas</t>
        </is>
      </c>
      <c r="G56" s="5" t="inlineStr">
        <is>
          <t>mg/l</t>
        </is>
      </c>
      <c r="H56" s="5" t="inlineStr">
        <is>
          <t>Eurostat — sdg_06_50 (teneur en phosphate dans les rivières)</t>
        </is>
      </c>
      <c r="I56" s="5" t="inlineStr">
        <is>
          <t>sdg_06_50?freq=A&amp;watpol=PO4_RIV&amp;unit=MG_L&amp;geo=FR</t>
        </is>
      </c>
      <c r="J56" s="5" t="inlineStr">
        <is>
          <t>2007-2023 (17 points, annuelle)</t>
        </is>
      </c>
      <c r="K56" s="5" t="inlineStr">
        <is>
          <t>resultat</t>
        </is>
      </c>
      <c r="L56" s="5" t="inlineStr">
        <is>
          <t>non</t>
        </is>
      </c>
      <c r="M56" s="5" t="inlineStr">
        <is>
          <t>non</t>
        </is>
      </c>
      <c r="N56" s="5" t="inlineStr">
        <is>
          <t>non</t>
        </is>
      </c>
      <c r="O56" s="5" t="inlineStr">
        <is>
          <t>retenir</t>
        </is>
      </c>
      <c r="P56" s="5" t="inlineStr">
        <is>
          <t>Seule mesure annuelle de la charge des rivières en phosphore au catalogue, série Eurostat sans drapeau de 2007 à 2023 (0,056 mg/l en 2007, 0,060 mg/l en 2023).</t>
        </is>
      </c>
      <c r="Q56" s="5" t="inlineStr">
        <is>
          <t>retenu</t>
        </is>
      </c>
      <c r="R56" s="7" t="inlineStr"/>
      <c r="S56" s="7" t="inlineStr"/>
    </row>
    <row r="57" ht="60" customHeight="1">
      <c r="A57" s="5" t="inlineStr">
        <is>
          <t>preoccupation_environnement</t>
        </is>
      </c>
      <c r="B57" s="6" t="inlineStr">
        <is>
          <t>preoccupation_environnement</t>
        </is>
      </c>
      <c r="C57" s="5" t="inlineStr">
        <is>
          <t>Personnes préoccupées par les problèmes liés à l'environnement (baromètre DREES)</t>
        </is>
      </c>
      <c r="D57" s="5" t="inlineStr">
        <is>
          <t>oui</t>
        </is>
      </c>
      <c r="E57" s="5" t="inlineStr">
        <is>
          <t>Part des adultes résidant en France métropolitaine qui se disent « beaucoup » ou « assez » préoccupés par les problèmes liés à l'environnement (question OG05_1 du baromètre d'opinion de la DREES ; part pondérée, …</t>
        </is>
      </c>
      <c r="F57" s="5" t="inlineStr">
        <is>
          <t>ambigu</t>
        </is>
      </c>
      <c r="G57" s="5" t="inlineStr">
        <is>
          <t>% des répondants</t>
        </is>
      </c>
      <c r="H57" s="5" t="inlineStr">
        <is>
          <t>DREES (baromètre d'opinion) — Baromètre d'opinion (microdonnées pondérées, data.drees), question OG05_1</t>
        </is>
      </c>
      <c r="I57" s="5" t="inlineStr">
        <is>
          <t>data.drees.solidarites-sante.gouv.fr, jeu 431_le-barometre-d-opinion, pièce jointe barometre2000_2025_diff_csv ; variable OG05_1, modalités 1+2</t>
        </is>
      </c>
      <c r="J57" s="5" t="inlineStr">
        <is>
          <t>2000-2025 (25 points, annuelle)</t>
        </is>
      </c>
      <c r="K57" s="5" t="inlineStr">
        <is>
          <t>resultat</t>
        </is>
      </c>
      <c r="L57" s="5" t="inlineStr">
        <is>
          <t>oui</t>
        </is>
      </c>
      <c r="M57" s="5" t="inlineStr">
        <is>
          <t>non</t>
        </is>
      </c>
      <c r="N57" s="5" t="inlineStr">
        <is>
          <t>non</t>
        </is>
      </c>
      <c r="O57" s="5" t="inlineStr">
        <is>
          <t>ecarter</t>
        </is>
      </c>
      <c r="P57" s="5" t="inlineStr">
        <is>
          <t>Sens ambigu : la part de personnes préoccupées par l'environnement (86,8 % en 2000, 76,7 % en 2025, modalités « beaucoup » et « assez » recalculées sur les distributions du robot M04) mesure l'attention portée au sujet autant que l'état de l'environnement.</t>
        </is>
      </c>
      <c r="Q57" s="5" t="inlineStr">
        <is>
          <t>ecarte</t>
        </is>
      </c>
      <c r="R57" s="7" t="inlineStr"/>
      <c r="S57" s="7" t="inlineStr"/>
    </row>
    <row r="58" ht="60" customHeight="1">
      <c r="A58" s="5" t="inlineStr">
        <is>
          <t>pression_azote_agricole</t>
        </is>
      </c>
      <c r="B58" s="6" t="inlineStr">
        <is>
          <t>excedent_azote</t>
        </is>
      </c>
      <c r="C58" s="5" t="inlineStr">
        <is>
          <t>Excédent du bilan azoté des terres agricoles</t>
        </is>
      </c>
      <c r="D58" s="5" t="inlineStr">
        <is>
          <t>oui</t>
        </is>
      </c>
      <c r="E58" s="5" t="inlineStr">
        <is>
          <t>Bilan brut de l'azote des sols agricoles : apports (engrais minéraux et organiques, effluents d'élevage, fixation biologique, dépôts atmosphériques, semences) moins exportations par les récoltes et les fourrages, en kg …</t>
        </is>
      </c>
      <c r="F58" s="5" t="inlineStr">
        <is>
          <t>bas</t>
        </is>
      </c>
      <c r="G58" s="5" t="inlineStr">
        <is>
          <t>kg d'azote par hectare de SAU</t>
        </is>
      </c>
      <c r="H58" s="5" t="inlineStr">
        <is>
          <t>Eurostat — aei_pr_gnb (bilan nutritif brut)</t>
        </is>
      </c>
      <c r="I58" s="5" t="inlineStr">
        <is>
          <t>aei_pr_gnb?freq=A&amp;nutrient=N&amp;indic_ag=BAL_UAA&amp;geo=FR</t>
        </is>
      </c>
      <c r="J58" s="5" t="inlineStr">
        <is>
          <t>2000-2023 (24 points, annuelle)</t>
        </is>
      </c>
      <c r="K58" s="5" t="inlineStr">
        <is>
          <t>pression</t>
        </is>
      </c>
      <c r="L58" s="5" t="inlineStr">
        <is>
          <t>non</t>
        </is>
      </c>
      <c r="M58" s="5" t="inlineStr">
        <is>
          <t>non</t>
        </is>
      </c>
      <c r="N58" s="5" t="inlineStr">
        <is>
          <t>non</t>
        </is>
      </c>
      <c r="O58" s="5" t="inlineStr">
        <is>
          <t>retenir</t>
        </is>
      </c>
      <c r="P58" s="5" t="inlineStr">
        <is>
          <t>Mesure de la pression azotée agricole retenue par l'OCDE (How's Life 12_11), série Eurostat de 2000 à 2023 (40,0 kg/ha en 2000, 18,3 en 2023) avec une rupture en 2010 (drapeau b).</t>
        </is>
      </c>
      <c r="Q58" s="5" t="inlineStr">
        <is>
          <t>retenu</t>
        </is>
      </c>
      <c r="R58" s="7" t="inlineStr"/>
      <c r="S58" s="7" t="inlineStr"/>
    </row>
    <row r="59" ht="60" customHeight="1">
      <c r="A59" s="5" t="inlineStr">
        <is>
          <t>pression_azote_agricole</t>
        </is>
      </c>
      <c r="B59" s="5" t="inlineStr">
        <is>
          <t>engrais_azotes_mineraux</t>
        </is>
      </c>
      <c r="C59" s="5" t="inlineStr">
        <is>
          <t>Consommation d'engrais azotés minéraux</t>
        </is>
      </c>
      <c r="D59" s="5" t="inlineStr">
        <is>
          <t>non</t>
        </is>
      </c>
      <c r="E59" s="5" t="inlineStr">
        <is>
          <t>Quantité d'azote contenue dans les engrais minéraux (inorganiques) utilisés par l'agriculture, en tonnes d'azote.</t>
        </is>
      </c>
      <c r="F59" s="5" t="inlineStr">
        <is>
          <t>bas</t>
        </is>
      </c>
      <c r="G59" s="5" t="inlineStr">
        <is>
          <t>tonnes d'azote</t>
        </is>
      </c>
      <c r="H59" s="5" t="inlineStr">
        <is>
          <t>Eurostat — aei_fm_usefert (consommation d'engrais inorganiques)</t>
        </is>
      </c>
      <c r="I59" s="5" t="inlineStr">
        <is>
          <t>aei_fm_usefert?freq=A&amp;nutrient=N&amp;unit=T&amp;geo=FR</t>
        </is>
      </c>
      <c r="J59" s="5" t="inlineStr">
        <is>
          <t>2000-2024 (25 points, annuelle)</t>
        </is>
      </c>
      <c r="K59" s="5" t="inlineStr">
        <is>
          <t>pression</t>
        </is>
      </c>
      <c r="L59" s="5" t="inlineStr">
        <is>
          <t>non</t>
        </is>
      </c>
      <c r="M59" s="5" t="inlineStr">
        <is>
          <t>non</t>
        </is>
      </c>
      <c r="N59" s="5" t="inlineStr">
        <is>
          <t>non</t>
        </is>
      </c>
      <c r="O59" s="5" t="inlineStr">
        <is>
          <t>retenir_variante</t>
        </is>
      </c>
      <c r="P59" s="5" t="inlineStr">
        <is>
          <t>Autre lecture de la famille pression_azote_agricole, proche de l'indicateur de la limite planétaire du Doughnut et visée par la cible de baisse de 30 % en 2030 de la SNBC 3, série Eurostat de 2000 à 2024 (2 482 363 t en 2000, 1 824 613 t en 2024, provisoire), l'excédent restant principal (D40).</t>
        </is>
      </c>
      <c r="Q59" s="5" t="inlineStr">
        <is>
          <t>retenu</t>
        </is>
      </c>
      <c r="R59" s="7" t="inlineStr"/>
      <c r="S59" s="7" t="inlineStr"/>
    </row>
    <row r="60" ht="60" customHeight="1">
      <c r="A60" s="5" t="inlineStr">
        <is>
          <t>pression_eau</t>
        </is>
      </c>
      <c r="B60" s="6" t="inlineStr">
        <is>
          <t>prelevements_eau</t>
        </is>
      </c>
      <c r="C60" s="5" t="inlineStr">
        <is>
          <t>Prélèvements d'eau douce par habitant</t>
        </is>
      </c>
      <c r="D60" s="5" t="inlineStr">
        <is>
          <t>oui</t>
        </is>
      </c>
      <c r="E60" s="5" t="inlineStr">
        <is>
          <t>Volume total d'eau douce (de surface et souterraine) prélevé dans le milieu naturel pour tous les usages (eau potable, agriculture, industrie, refroidissement des centrales, canaux), rapporté à la population.</t>
        </is>
      </c>
      <c r="F60" s="5" t="inlineStr">
        <is>
          <t>bas</t>
        </is>
      </c>
      <c r="G60" s="5" t="inlineStr">
        <is>
          <t>m³ par habitant</t>
        </is>
      </c>
      <c r="H60" s="5" t="inlineStr">
        <is>
          <t>Eurostat — env_wat_abs (prélèvement annuel d'eau douce par source et secteur)</t>
        </is>
      </c>
      <c r="I60" s="5" t="inlineStr">
        <is>
          <t>env_wat_abs?freq=A&amp;wat_proc=ABST&amp;wat_src=FRW&amp;unit=M3_HAB&amp;geo=FR</t>
        </is>
      </c>
      <c r="J60" s="5" t="inlineStr">
        <is>
          <t>2000-2023 (24 points, annuelle)</t>
        </is>
      </c>
      <c r="K60" s="5" t="inlineStr">
        <is>
          <t>pression</t>
        </is>
      </c>
      <c r="L60" s="5" t="inlineStr">
        <is>
          <t>non</t>
        </is>
      </c>
      <c r="M60" s="5" t="inlineStr">
        <is>
          <t>non</t>
        </is>
      </c>
      <c r="N60" s="5" t="inlineStr">
        <is>
          <t>non</t>
        </is>
      </c>
      <c r="O60" s="5" t="inlineStr">
        <is>
          <t>retenir</t>
        </is>
      </c>
      <c r="P60" s="5" t="inlineStr">
        <is>
          <t>Mesure de la pression sur la ressource en eau la plus longue au catalogue, série Eurostat sans drapeau de 2000 à 2023 (538 m³ par habitant en 2000, 341 m³ en 2023).</t>
        </is>
      </c>
      <c r="Q60" s="5" t="inlineStr">
        <is>
          <t>retenu</t>
        </is>
      </c>
      <c r="R60" s="7" t="inlineStr"/>
      <c r="S60" s="7" t="inlineStr"/>
    </row>
    <row r="61" ht="60" customHeight="1">
      <c r="A61" s="5" t="inlineStr">
        <is>
          <t>pression_eau</t>
        </is>
      </c>
      <c r="B61" s="5" t="inlineStr">
        <is>
          <t>indice_exploitation_eau</t>
        </is>
      </c>
      <c r="C61" s="5" t="inlineStr">
        <is>
          <t>Indice d'exploitation de l'eau (WEI+)</t>
        </is>
      </c>
      <c r="D61" s="5" t="inlineStr">
        <is>
          <t>non</t>
        </is>
      </c>
      <c r="E61" s="5" t="inlineStr">
        <is>
          <t>Consommation nette d'eau (prélèvements moins restitutions au milieu) rapportée aux ressources renouvelables en eau douce, en pourcentage (indicateur ODD de l'UE).</t>
        </is>
      </c>
      <c r="F61" s="5" t="inlineStr">
        <is>
          <t>bas</t>
        </is>
      </c>
      <c r="G61" s="5" t="inlineStr">
        <is>
          <t>%</t>
        </is>
      </c>
      <c r="H61" s="5" t="inlineStr">
        <is>
          <t>Eurostat — sdg_06_60 (indice d'exploitation de l'eau, plus)</t>
        </is>
      </c>
      <c r="I61" s="5" t="inlineStr">
        <is>
          <t>sdg_06_60?freq=A&amp;statinfo=VAL_A&amp;unit=PC&amp;geo=FR</t>
        </is>
      </c>
      <c r="J61" s="5" t="inlineStr">
        <is>
          <t>2000-2023 (24 points, annuelle)</t>
        </is>
      </c>
      <c r="K61" s="5" t="inlineStr">
        <is>
          <t>pression</t>
        </is>
      </c>
      <c r="L61" s="5" t="inlineStr">
        <is>
          <t>non</t>
        </is>
      </c>
      <c r="M61" s="5" t="inlineStr">
        <is>
          <t>non</t>
        </is>
      </c>
      <c r="N61" s="5" t="inlineStr">
        <is>
          <t>non</t>
        </is>
      </c>
      <c r="O61" s="5" t="inlineStr">
        <is>
          <t>retenir_variante</t>
        </is>
      </c>
      <c r="P61" s="5" t="inlineStr">
        <is>
          <t>Autre lecture de la famille pression_eau (consommation nette rapportée à la ressource), série Eurostat annuelle de 2000 à 2023, comprise entre 2,19 % (2013) et 5,35 % (2005).</t>
        </is>
      </c>
      <c r="Q61" s="5" t="inlineStr">
        <is>
          <t>retenu</t>
        </is>
      </c>
      <c r="R61" s="7" t="inlineStr"/>
      <c r="S61" s="7" t="inlineStr"/>
    </row>
    <row r="62" ht="60" customHeight="1">
      <c r="A62" s="5" t="inlineStr">
        <is>
          <t>pression_phosphore_agricole</t>
        </is>
      </c>
      <c r="B62" s="6" t="inlineStr">
        <is>
          <t>excedent_phosphore</t>
        </is>
      </c>
      <c r="C62" s="5" t="inlineStr">
        <is>
          <t>Excédent du bilan phosphoré des terres agricoles</t>
        </is>
      </c>
      <c r="D62" s="5" t="inlineStr">
        <is>
          <t>oui</t>
        </is>
      </c>
      <c r="E62" s="5" t="inlineStr">
        <is>
          <t>Bilan brut du phosphore des sols agricoles : apports (engrais minéraux et organiques, effluents d'élevage, semences) moins exportations par les récoltes et les fourrages, en kg de phosphore par hectare de surface …</t>
        </is>
      </c>
      <c r="F62" s="5" t="inlineStr">
        <is>
          <t>bas</t>
        </is>
      </c>
      <c r="G62" s="5" t="inlineStr">
        <is>
          <t>kg de phosphore par hectare de SAU</t>
        </is>
      </c>
      <c r="H62" s="5" t="inlineStr">
        <is>
          <t>Eurostat — aei_pr_gnb (bilan nutritif brut)</t>
        </is>
      </c>
      <c r="I62" s="5" t="inlineStr">
        <is>
          <t>aei_pr_gnb?freq=A&amp;nutrient=P&amp;indic_ag=BAL_UAA&amp;geo=FR</t>
        </is>
      </c>
      <c r="J62" s="5" t="inlineStr">
        <is>
          <t>2000-2023 (24 points, annuelle)</t>
        </is>
      </c>
      <c r="K62" s="5" t="inlineStr">
        <is>
          <t>pression</t>
        </is>
      </c>
      <c r="L62" s="5" t="inlineStr">
        <is>
          <t>non</t>
        </is>
      </c>
      <c r="M62" s="5" t="inlineStr">
        <is>
          <t>non</t>
        </is>
      </c>
      <c r="N62" s="5" t="inlineStr">
        <is>
          <t>non</t>
        </is>
      </c>
      <c r="O62" s="5" t="inlineStr">
        <is>
          <t>retenir</t>
        </is>
      </c>
      <c r="P62" s="5" t="inlineStr">
        <is>
          <t>Mesure de la pression phosphorée agricole, série Eurostat de 2000 à 2023 (8,4 kg/ha en 2000, -1,1 en 2023) avec une rupture en 2010 (drapeau b).</t>
        </is>
      </c>
      <c r="Q62" s="5" t="inlineStr">
        <is>
          <t>retenu</t>
        </is>
      </c>
      <c r="R62" s="7" t="inlineStr"/>
      <c r="S62" s="7" t="inlineStr"/>
    </row>
    <row r="63" ht="60" customHeight="1">
      <c r="A63" s="5" t="inlineStr">
        <is>
          <t>pression_phosphore_agricole</t>
        </is>
      </c>
      <c r="B63" s="5" t="inlineStr">
        <is>
          <t>engrais_phosphates_mineraux</t>
        </is>
      </c>
      <c r="C63" s="5" t="inlineStr">
        <is>
          <t>Consommation d'engrais phosphatés minéraux</t>
        </is>
      </c>
      <c r="D63" s="5" t="inlineStr">
        <is>
          <t>non</t>
        </is>
      </c>
      <c r="E63" s="5" t="inlineStr">
        <is>
          <t>Quantité de phosphore contenue dans les engrais minéraux (inorganiques) utilisés par l'agriculture, en tonnes de phosphore.</t>
        </is>
      </c>
      <c r="F63" s="5" t="inlineStr">
        <is>
          <t>bas</t>
        </is>
      </c>
      <c r="G63" s="5" t="inlineStr">
        <is>
          <t>tonnes de phosphore</t>
        </is>
      </c>
      <c r="H63" s="5" t="inlineStr">
        <is>
          <t>Eurostat — aei_fm_usefert (consommation d'engrais inorganiques)</t>
        </is>
      </c>
      <c r="I63" s="5" t="inlineStr">
        <is>
          <t>aei_fm_usefert?freq=A&amp;nutrient=P&amp;unit=T&amp;geo=FR</t>
        </is>
      </c>
      <c r="J63" s="5" t="inlineStr">
        <is>
          <t>2000-2024 (25 points, annuelle)</t>
        </is>
      </c>
      <c r="K63" s="5" t="inlineStr">
        <is>
          <t>pression</t>
        </is>
      </c>
      <c r="L63" s="5" t="inlineStr">
        <is>
          <t>non</t>
        </is>
      </c>
      <c r="M63" s="5" t="inlineStr">
        <is>
          <t>non</t>
        </is>
      </c>
      <c r="N63" s="5" t="inlineStr">
        <is>
          <t>non</t>
        </is>
      </c>
      <c r="O63" s="5" t="inlineStr">
        <is>
          <t>retenir_variante</t>
        </is>
      </c>
      <c r="P63" s="5" t="inlineStr">
        <is>
          <t>Autre lecture de la famille pression_phosphore_agricole, proche de l'indicateur de la limite planétaire du phosphore du Doughnut, série Eurostat de 2000 à 2024 (431 667 t en 2000, 122 746 t en 2024, provisoire), l'excédent restant principal (D40).</t>
        </is>
      </c>
      <c r="Q63" s="5" t="inlineStr">
        <is>
          <t>retenu</t>
        </is>
      </c>
      <c r="R63" s="7" t="inlineStr"/>
      <c r="S63" s="7" t="inlineStr"/>
    </row>
    <row r="64" ht="60" customHeight="1">
      <c r="A64" s="5" t="inlineStr">
        <is>
          <t>production_dechets</t>
        </is>
      </c>
      <c r="B64" s="6" t="inlineStr">
        <is>
          <t>production_dechets</t>
        </is>
      </c>
      <c r="C64" s="5" t="inlineStr">
        <is>
          <t>Production de déchets par habitant (toutes activités et ménages)</t>
        </is>
      </c>
      <c r="D64" s="5" t="inlineStr">
        <is>
          <t>oui</t>
        </is>
      </c>
      <c r="E64" s="5" t="inlineStr">
        <is>
          <t>Quantité totale de déchets, dangereux et non dangereux, produite par l'ensemble des activités économiques et les ménages, déchets minéraux compris, en kg par habitant (statistique européenne biennale).</t>
        </is>
      </c>
      <c r="F64" s="5" t="inlineStr">
        <is>
          <t>bas</t>
        </is>
      </c>
      <c r="G64" s="5" t="inlineStr">
        <is>
          <t>kg par habitant</t>
        </is>
      </c>
      <c r="H64" s="5" t="inlineStr">
        <is>
          <t>Eurostat — sdg_12_51 (déchets générés par dangerosité)</t>
        </is>
      </c>
      <c r="I64" s="5" t="inlineStr">
        <is>
          <t>sdg_12_51?freq=A&amp;waste=TOTAL&amp;hazard=HAZ_NHAZ&amp;nace_r2=TOTAL_HH&amp;unit=KG_HAB&amp;geo=FR</t>
        </is>
      </c>
      <c r="J64" s="5" t="inlineStr">
        <is>
          <t>2004-2022 (10 points, irreguliere)</t>
        </is>
      </c>
      <c r="K64" s="5" t="inlineStr">
        <is>
          <t>pression</t>
        </is>
      </c>
      <c r="L64" s="5" t="inlineStr">
        <is>
          <t>non</t>
        </is>
      </c>
      <c r="M64" s="5" t="inlineStr">
        <is>
          <t>non</t>
        </is>
      </c>
      <c r="N64" s="5" t="inlineStr">
        <is>
          <t>non</t>
        </is>
      </c>
      <c r="O64" s="5" t="inlineStr">
        <is>
          <t>retenir</t>
        </is>
      </c>
      <c r="P64" s="5" t="inlineStr">
        <is>
          <t>Mesure de la pression de toute l'économie sur les capacités de traitement, statistique biennale d'Eurostat de 2004 à 2022 (10 points, D17), avec 5 034 kg par habitant en 2022.</t>
        </is>
      </c>
      <c r="Q64" s="5" t="inlineStr">
        <is>
          <t>retenu</t>
        </is>
      </c>
      <c r="R64" s="7" t="inlineStr"/>
      <c r="S64" s="7" t="inlineStr"/>
    </row>
    <row r="65" ht="60" customHeight="1">
      <c r="A65" s="5" t="inlineStr">
        <is>
          <t>production_dechets</t>
        </is>
      </c>
      <c r="B65" s="5" t="inlineStr">
        <is>
          <t>gaspillage_alimentaire</t>
        </is>
      </c>
      <c r="C65" s="5" t="inlineStr">
        <is>
          <t>Pertes et gaspillages alimentaires par habitant</t>
        </is>
      </c>
      <c r="D65" s="5" t="inlineStr">
        <is>
          <t>non</t>
        </is>
      </c>
      <c r="E65" s="5" t="inlineStr">
        <is>
          <t>Quantité de pertes et gaspillages alimentaires sur toute la chaîne (production, transformation, distribution, consommation à domicile et en restauration), en kg par habitant et par an (indicateur national ODD 12.i3).</t>
        </is>
      </c>
      <c r="F65" s="5" t="inlineStr">
        <is>
          <t>bas</t>
        </is>
      </c>
      <c r="G65" s="5" t="inlineStr">
        <is>
          <t>kg par habitant et par an</t>
        </is>
      </c>
      <c r="H65" s="5" t="inlineStr">
        <is>
          <t>INSEE (indicateurs ODD nationaux) — ODD 12.i3 (BDM 010596198)</t>
        </is>
      </c>
      <c r="I65" s="5" t="inlineStr">
        <is>
          <t>010596198</t>
        </is>
      </c>
      <c r="J65" s="5" t="inlineStr">
        <is>
          <t>2015-2023 (5 points, annuelle)</t>
        </is>
      </c>
      <c r="K65" s="5" t="inlineStr">
        <is>
          <t>pression</t>
        </is>
      </c>
      <c r="L65" s="5" t="inlineStr">
        <is>
          <t>non</t>
        </is>
      </c>
      <c r="M65" s="5" t="inlineStr">
        <is>
          <t>non</t>
        </is>
      </c>
      <c r="N65" s="5" t="inlineStr">
        <is>
          <t>non</t>
        </is>
      </c>
      <c r="O65" s="5" t="inlineStr">
        <is>
          <t>retenir_variante</t>
        </is>
      </c>
      <c r="P65" s="5" t="inlineStr">
        <is>
          <t>Seule mesure fréquente du gaspillage alimentaire (cible ODD 12.3, loi AGEC), série INSEE annuelle comparable sur 4 points seulement (129, 129, 137 et 142 kg par habitant de 2020 à 2023), la valeur 2015 (150 kg) relevant d'une autre méthode, d'où une variante de la famille production_dechets (D38 f, D40).</t>
        </is>
      </c>
      <c r="Q65" s="5" t="inlineStr">
        <is>
          <t>retenu</t>
        </is>
      </c>
      <c r="R65" s="7" t="inlineStr"/>
      <c r="S65" s="7" t="inlineStr"/>
    </row>
    <row r="66" ht="60" customHeight="1">
      <c r="A66" s="5" t="inlineStr">
        <is>
          <t>productivite_energetique</t>
        </is>
      </c>
      <c r="B66" s="6" t="inlineStr">
        <is>
          <t>productivite_energetique</t>
        </is>
      </c>
      <c r="C66" s="5" t="inlineStr">
        <is>
          <t>Productivité de l'énergie</t>
        </is>
      </c>
      <c r="D66" s="5" t="inlineStr">
        <is>
          <t>oui</t>
        </is>
      </c>
      <c r="E66" s="5" t="inlineStr">
        <is>
          <t>Produit intérieur brut en volume (euros, volumes chaînés de référence 2010) rapporté à l'énergie disponible brute, en euros par kilogramme équivalent pétrole : l'inverse de l'intensité énergétique.</t>
        </is>
      </c>
      <c r="F66" s="5" t="inlineStr">
        <is>
          <t>haut</t>
        </is>
      </c>
      <c r="G66" s="5" t="inlineStr">
        <is>
          <t>euros (volumes chaînés 2010) par kg équivalent pétrole</t>
        </is>
      </c>
      <c r="H66" s="5" t="inlineStr">
        <is>
          <t>Eurostat — sdg_07_30 (productivité de l'énergie)</t>
        </is>
      </c>
      <c r="I66" s="5" t="inlineStr">
        <is>
          <t>sdg_07_30?freq=A&amp;unit=EUR_KGOE&amp;geo=FR</t>
        </is>
      </c>
      <c r="J66" s="5" t="inlineStr">
        <is>
          <t>2000-2024 (25 points, annuelle)</t>
        </is>
      </c>
      <c r="K66" s="5" t="inlineStr">
        <is>
          <t>moyen</t>
        </is>
      </c>
      <c r="L66" s="5" t="inlineStr">
        <is>
          <t>non</t>
        </is>
      </c>
      <c r="M66" s="5" t="inlineStr">
        <is>
          <t>non</t>
        </is>
      </c>
      <c r="N66" s="5" t="inlineStr">
        <is>
          <t>non</t>
        </is>
      </c>
      <c r="O66" s="5" t="inlineStr">
        <is>
          <t>retenir</t>
        </is>
      </c>
      <c r="P66" s="5" t="inlineStr">
        <is>
          <t>Indicateur de découplage de la cible ODD 7.3, série Eurostat sans drapeau de 2000 à 2024 (6,76 € par kgep en 2000, 10,72 € en 2024).</t>
        </is>
      </c>
      <c r="Q66" s="5" t="inlineStr">
        <is>
          <t>retenu</t>
        </is>
      </c>
      <c r="R66" s="7" t="inlineStr"/>
      <c r="S66" s="7" t="inlineStr"/>
    </row>
    <row r="67" ht="60" customHeight="1">
      <c r="A67" s="5" t="inlineStr">
        <is>
          <t>puits_carbone_utcatf</t>
        </is>
      </c>
      <c r="B67" s="6" t="inlineStr">
        <is>
          <t>puits_carbone_utcatf</t>
        </is>
      </c>
      <c r="C67" s="5" t="inlineStr">
        <is>
          <t>Puits de carbone des terres et des forêts (solde net de l'UTCATF)</t>
        </is>
      </c>
      <c r="D67" s="5" t="inlineStr">
        <is>
          <t>oui</t>
        </is>
      </c>
      <c r="E67" s="5" t="inlineStr">
        <is>
          <t>Solde net des émissions et absorptions de gaz à effet de serre du secteur « utilisation des terres, changement d'affectation des terres et foresterie » (catégorie 4 de l'inventaire) ; une valeur négative est une …</t>
        </is>
      </c>
      <c r="F67" s="5" t="inlineStr">
        <is>
          <t>bas</t>
        </is>
      </c>
      <c r="G67" s="5" t="inlineStr">
        <is>
          <t>millions de tonnes équivalent CO2 (négatif : absorption)</t>
        </is>
      </c>
      <c r="H67" s="5" t="inlineStr">
        <is>
          <t>Eurostat — env_air_gge (émissions de gaz à effet de serre par secteur source, CRF 4)</t>
        </is>
      </c>
      <c r="I67" s="5" t="inlineStr">
        <is>
          <t>env_air_gge?freq=A&amp;unit=MIO_T&amp;airpol=GHG&amp;src_crf=CRF4&amp;geo=FR</t>
        </is>
      </c>
      <c r="J67" s="5" t="inlineStr">
        <is>
          <t>2000-2024 (25 points, annuelle)</t>
        </is>
      </c>
      <c r="K67" s="5" t="inlineStr">
        <is>
          <t>resultat</t>
        </is>
      </c>
      <c r="L67" s="5" t="inlineStr">
        <is>
          <t>non</t>
        </is>
      </c>
      <c r="M67" s="5" t="inlineStr">
        <is>
          <t>non</t>
        </is>
      </c>
      <c r="N67" s="5" t="inlineStr">
        <is>
          <t>non</t>
        </is>
      </c>
      <c r="O67" s="5" t="inlineStr">
        <is>
          <t>retenir</t>
        </is>
      </c>
      <c r="P67" s="5" t="inlineStr">
        <is>
          <t>Grandeur visée par les cibles indicatives de la SNBC 3 (décret n° 2026-636), série Eurostat sans drapeau de 2000 à 2024 dont l'absorption nette est passée de 60,98 Mt en 2004 à 41,18 Mt en 2024 (API lue le 14/10/2026).</t>
        </is>
      </c>
      <c r="Q67" s="5" t="inlineStr">
        <is>
          <t>retenu</t>
        </is>
      </c>
      <c r="R67" s="7" t="inlineStr"/>
      <c r="S67" s="7" t="inlineStr"/>
    </row>
    <row r="68" ht="60" customHeight="1">
      <c r="A68" s="5" t="inlineStr">
        <is>
          <t>races_locales_menacees</t>
        </is>
      </c>
      <c r="B68" s="6" t="inlineStr">
        <is>
          <t>races_locales_menacees</t>
        </is>
      </c>
      <c r="C68" s="5" t="inlineStr">
        <is>
          <t>Races locales d'animaux d'élevage menacées d'extinction</t>
        </is>
      </c>
      <c r="D68" s="5" t="inlineStr">
        <is>
          <t>oui</t>
        </is>
      </c>
      <c r="E68" s="5" t="inlineStr">
        <is>
          <t>Nombre de races locales d'animaux d'élevage classées à risque d'extinction (indicateur national ODD 2.i7 de diversité génétique).</t>
        </is>
      </c>
      <c r="F68" s="5" t="inlineStr">
        <is>
          <t>ambigu</t>
        </is>
      </c>
      <c r="G68" s="5" t="inlineStr">
        <is>
          <t>nombre de races</t>
        </is>
      </c>
      <c r="H68" s="5" t="inlineStr">
        <is>
          <t>INSEE (indicateurs ODD nationaux) — ODD 2.i7 (BDM 010594440)</t>
        </is>
      </c>
      <c r="I68" s="5" t="inlineStr">
        <is>
          <t>010594440</t>
        </is>
      </c>
      <c r="J68" s="5" t="inlineStr">
        <is>
          <t>2010-2025 (16 points, annuelle)</t>
        </is>
      </c>
      <c r="K68" s="5" t="inlineStr">
        <is>
          <t>resultat</t>
        </is>
      </c>
      <c r="L68" s="5" t="inlineStr">
        <is>
          <t>non</t>
        </is>
      </c>
      <c r="M68" s="5" t="inlineStr">
        <is>
          <t>non</t>
        </is>
      </c>
      <c r="N68" s="5" t="inlineStr">
        <is>
          <t>non</t>
        </is>
      </c>
      <c r="O68" s="5" t="inlineStr">
        <is>
          <t>ecarter</t>
        </is>
      </c>
      <c r="P68" s="5" t="inlineStr">
        <is>
          <t>Sens ambigu : le nombre de races à risque passe de 38 en 2010 à 122 en 2025 surtout parce que des races de risque inconnu ont été classées (182 en 2010, 107 en 2025), et la série vaut 0 en 2012 et 2013 (14 points utiles sur 16).</t>
        </is>
      </c>
      <c r="Q68" s="5" t="inlineStr">
        <is>
          <t>ecarte</t>
        </is>
      </c>
      <c r="R68" s="7" t="inlineStr"/>
      <c r="S68" s="7" t="inlineStr"/>
    </row>
    <row r="69" ht="60" customHeight="1">
      <c r="A69" s="5" t="inlineStr">
        <is>
          <t>rendement_reseaux_eau</t>
        </is>
      </c>
      <c r="B69" s="6" t="inlineStr">
        <is>
          <t>rendement_reseaux_eau</t>
        </is>
      </c>
      <c r="C69" s="5" t="inlineStr">
        <is>
          <t>Rendement des réseaux d'eau potable</t>
        </is>
      </c>
      <c r="D69" s="5" t="inlineStr">
        <is>
          <t>oui</t>
        </is>
      </c>
      <c r="E69" s="5" t="inlineStr">
        <is>
          <t>Part du volume d'eau potable mis en distribution qui parvient aux usagers, le complément correspondant aux fuites des réseaux (indicateur ODD 6.i4).</t>
        </is>
      </c>
      <c r="F69" s="5" t="inlineStr">
        <is>
          <t>haut</t>
        </is>
      </c>
      <c r="G69" s="5" t="inlineStr">
        <is>
          <t>%</t>
        </is>
      </c>
      <c r="H69" s="5" t="inlineStr">
        <is>
          <t>SDES-INSEE — Indicateurs territoriaux de développement durable, fichier France entière (DiDo), variable taux_rendmt_res_distr</t>
        </is>
      </c>
      <c r="I69" s="5" t="inlineStr">
        <is>
          <t>DiDo SDES rid 305ea0e3-269b-47ee-bab5-7553fec6f010 (variable taux_rendmt_res_distr)</t>
        </is>
      </c>
      <c r="J69" s="5" t="inlineStr">
        <is>
          <t>2010-2024 (15 points, annuelle)</t>
        </is>
      </c>
      <c r="K69" s="5" t="inlineStr">
        <is>
          <t>moyen</t>
        </is>
      </c>
      <c r="L69" s="5" t="inlineStr">
        <is>
          <t>non</t>
        </is>
      </c>
      <c r="M69" s="5" t="inlineStr">
        <is>
          <t>non</t>
        </is>
      </c>
      <c r="N69" s="5" t="inlineStr">
        <is>
          <t>non</t>
        </is>
      </c>
      <c r="O69" s="5" t="inlineStr">
        <is>
          <t>retenir</t>
        </is>
      </c>
      <c r="P69" s="5" t="inlineStr">
        <is>
          <t>Mesure annuelle des pertes d'eau potable publiée de 2010 à 2024 (15 points), 84 % en 2024 d'après l'extrait du robot M04, plus fraîche d'un an que la série INSEE de la BDM.</t>
        </is>
      </c>
      <c r="Q69" s="5" t="inlineStr">
        <is>
          <t>retenu</t>
        </is>
      </c>
      <c r="R69" s="7" t="inlineStr"/>
      <c r="S69" s="7" t="inlineStr"/>
    </row>
    <row r="70" ht="60" customHeight="1">
      <c r="A70" s="5" t="inlineStr">
        <is>
          <t>secheresse_ecosystemes</t>
        </is>
      </c>
      <c r="B70" s="6" t="inlineStr">
        <is>
          <t>secheresse_ecosystemes</t>
        </is>
      </c>
      <c r="C70" s="5" t="inlineStr">
        <is>
          <t>Part du territoire touchée par une sécheresse affectant les écosystèmes</t>
        </is>
      </c>
      <c r="D70" s="5" t="inlineStr">
        <is>
          <t>oui</t>
        </is>
      </c>
      <c r="E70" s="5" t="inlineStr">
        <is>
          <t>Superficie touchée dans l'année par une sécheresse ayant un impact sur les écosystèmes, en pourcentage de la superficie du pays (indicateur ODD 15.42 de l'UE).</t>
        </is>
      </c>
      <c r="F70" s="5" t="inlineStr">
        <is>
          <t>bas</t>
        </is>
      </c>
      <c r="G70" s="5" t="inlineStr">
        <is>
          <t>% de la superficie</t>
        </is>
      </c>
      <c r="H70" s="5" t="inlineStr">
        <is>
          <t>Eurostat — sdg_15_42 (superficie d'impact de la sécheresse sur les écosystèmes)</t>
        </is>
      </c>
      <c r="I70" s="5" t="inlineStr">
        <is>
          <t>sdg_15_42?freq=A&amp;statinfo=VAL_A&amp;unit=PC&amp;geo=FR</t>
        </is>
      </c>
      <c r="J70" s="5" t="inlineStr">
        <is>
          <t>2000-2024 (25 points, annuelle)</t>
        </is>
      </c>
      <c r="K70" s="5" t="inlineStr">
        <is>
          <t>resultat</t>
        </is>
      </c>
      <c r="L70" s="5" t="inlineStr">
        <is>
          <t>non</t>
        </is>
      </c>
      <c r="M70" s="5" t="inlineStr">
        <is>
          <t>non</t>
        </is>
      </c>
      <c r="N70" s="5" t="inlineStr">
        <is>
          <t>non</t>
        </is>
      </c>
      <c r="O70" s="5" t="inlineStr">
        <is>
          <t>retenir</t>
        </is>
      </c>
      <c r="P70" s="5" t="inlineStr">
        <is>
          <t>Seule mesure physique annuelle de la sécheresse subie par les écosystèmes (A14), série Eurostat sans drapeau de 2000 à 2024, de 0,0 % à 30,7 % du territoire (2022).</t>
        </is>
      </c>
      <c r="Q70" s="5" t="inlineStr">
        <is>
          <t>retenu</t>
        </is>
      </c>
      <c r="R70" s="7" t="inlineStr"/>
      <c r="S70" s="7" t="inlineStr"/>
    </row>
    <row r="71" ht="60" customHeight="1">
      <c r="A71" s="5" t="inlineStr">
        <is>
          <t>taux_boisement</t>
        </is>
      </c>
      <c r="B71" s="6" t="inlineStr">
        <is>
          <t>taux_boisement</t>
        </is>
      </c>
      <c r="C71" s="5" t="inlineStr">
        <is>
          <t>Taux de boisement</t>
        </is>
      </c>
      <c r="D71" s="5" t="inlineStr">
        <is>
          <t>oui</t>
        </is>
      </c>
      <c r="E71" s="5" t="inlineStr">
        <is>
          <t>Part de la surface de France métropolitaine couverte par la forêt, en moyenne sur cinq ans, d'après l'inventaire forestier (indicateur national ODD 15.i1).</t>
        </is>
      </c>
      <c r="F71" s="5" t="inlineStr">
        <is>
          <t>haut</t>
        </is>
      </c>
      <c r="G71" s="5" t="inlineStr">
        <is>
          <t>% du territoire (moyenne sur 5 ans)</t>
        </is>
      </c>
      <c r="H71" s="5" t="inlineStr">
        <is>
          <t>INSEE (indicateurs ODD nationaux) — ODD 15.i1 (BDM 010596289)</t>
        </is>
      </c>
      <c r="I71" s="5" t="inlineStr">
        <is>
          <t>010596289</t>
        </is>
      </c>
      <c r="J71" s="5" t="inlineStr">
        <is>
          <t>2010-2022 (13 points, annuelle)</t>
        </is>
      </c>
      <c r="K71" s="5" t="inlineStr">
        <is>
          <t>resultat</t>
        </is>
      </c>
      <c r="L71" s="5" t="inlineStr">
        <is>
          <t>non</t>
        </is>
      </c>
      <c r="M71" s="5" t="inlineStr">
        <is>
          <t>non</t>
        </is>
      </c>
      <c r="N71" s="5" t="inlineStr">
        <is>
          <t>oui</t>
        </is>
      </c>
      <c r="O71" s="5" t="inlineStr">
        <is>
          <t>retenir</t>
        </is>
      </c>
      <c r="P71" s="5" t="inlineStr">
        <is>
          <t>Indicateur national ODD 15.i1, série de 2010 à 2022 (13 points) issue de l'inventaire forestier, rattachée au concept « usage des sols » présent dans trois cadres.</t>
        </is>
      </c>
      <c r="Q71" s="5" t="inlineStr">
        <is>
          <t>retenu_socle</t>
        </is>
      </c>
      <c r="R71" s="7" t="inlineStr"/>
      <c r="S71" s="7" t="inlineStr"/>
    </row>
    <row r="72" ht="60" customHeight="1">
      <c r="A72" s="5" t="inlineStr">
        <is>
          <t>taux_recyclage_dechets_municipaux</t>
        </is>
      </c>
      <c r="B72" s="6" t="inlineStr">
        <is>
          <t>taux_recyclage_dechets_municipaux</t>
        </is>
      </c>
      <c r="C72" s="5" t="inlineStr">
        <is>
          <t>Taux de recyclage des déchets municipaux</t>
        </is>
      </c>
      <c r="D72" s="5" t="inlineStr">
        <is>
          <t>oui</t>
        </is>
      </c>
      <c r="E72" s="5" t="inlineStr">
        <is>
          <t>Part des déchets municipaux recyclés (recyclage matière, compostage et méthanisation, préparation en vue du réemploi) dans les déchets municipaux produits.</t>
        </is>
      </c>
      <c r="F72" s="5" t="inlineStr">
        <is>
          <t>haut</t>
        </is>
      </c>
      <c r="G72" s="5" t="inlineStr">
        <is>
          <t>%</t>
        </is>
      </c>
      <c r="H72" s="5" t="inlineStr">
        <is>
          <t>Eurostat — sdg_11_60 (taux de recyclage des déchets municipaux)</t>
        </is>
      </c>
      <c r="I72" s="5" t="inlineStr">
        <is>
          <t>sdg_11_60?freq=A&amp;unit=PC&amp;geo=FR</t>
        </is>
      </c>
      <c r="J72" s="5" t="inlineStr">
        <is>
          <t>2000-2024 (25 points, annuelle)</t>
        </is>
      </c>
      <c r="K72" s="5" t="inlineStr">
        <is>
          <t>moyen</t>
        </is>
      </c>
      <c r="L72" s="5" t="inlineStr">
        <is>
          <t>non</t>
        </is>
      </c>
      <c r="M72" s="5" t="inlineStr">
        <is>
          <t>non</t>
        </is>
      </c>
      <c r="N72" s="5" t="inlineStr">
        <is>
          <t>non</t>
        </is>
      </c>
      <c r="O72" s="5" t="inlineStr">
        <is>
          <t>retenir</t>
        </is>
      </c>
      <c r="P72" s="5" t="inlineStr">
        <is>
          <t>Moyen admis (D19) adossé aux cibles de 55 %, 60 % et 65 % (2025, 2030, 2035) de la directive-cadre déchets (texte à vérifier), série Eurostat de 2000 à 2024 (24,5 % en 2000, 40,9 % en 2024, estimé).</t>
        </is>
      </c>
      <c r="Q72" s="5" t="inlineStr">
        <is>
          <t>retenu</t>
        </is>
      </c>
      <c r="R72" s="7" t="inlineStr"/>
      <c r="S72" s="7" t="inlineStr"/>
    </row>
    <row r="73" ht="60" customHeight="1">
      <c r="A73" s="5" t="inlineStr">
        <is>
          <t>taux_utilisation_circulaire_matieres</t>
        </is>
      </c>
      <c r="B73" s="6" t="inlineStr">
        <is>
          <t>taux_utilisation_circulaire_matieres</t>
        </is>
      </c>
      <c r="C73" s="5" t="inlineStr">
        <is>
          <t>Taux d'utilisation circulaire des matières</t>
        </is>
      </c>
      <c r="D73" s="5" t="inlineStr">
        <is>
          <t>oui</t>
        </is>
      </c>
      <c r="E73" s="5" t="inlineStr">
        <is>
          <t>Part des matières recyclées et réinjectées dans l'économie dans l'ensemble des matières utilisées (indicateur de l'UE pour l'économie circulaire).</t>
        </is>
      </c>
      <c r="F73" s="5" t="inlineStr">
        <is>
          <t>haut</t>
        </is>
      </c>
      <c r="G73" s="5" t="inlineStr">
        <is>
          <t>%</t>
        </is>
      </c>
      <c r="H73" s="5" t="inlineStr">
        <is>
          <t>Eurostat — sdg_12_41 (taux d'utilisation circulaire de matières)</t>
        </is>
      </c>
      <c r="I73" s="5" t="inlineStr">
        <is>
          <t>sdg_12_41?freq=A&amp;unit=PC&amp;geo=FR</t>
        </is>
      </c>
      <c r="J73" s="5" t="inlineStr">
        <is>
          <t>2010-2024 (15 points, annuelle)</t>
        </is>
      </c>
      <c r="K73" s="5" t="inlineStr">
        <is>
          <t>moyen</t>
        </is>
      </c>
      <c r="L73" s="5" t="inlineStr">
        <is>
          <t>non</t>
        </is>
      </c>
      <c r="M73" s="5" t="inlineStr">
        <is>
          <t>non</t>
        </is>
      </c>
      <c r="N73" s="5" t="inlineStr">
        <is>
          <t>non</t>
        </is>
      </c>
      <c r="O73" s="5" t="inlineStr">
        <is>
          <t>retenir</t>
        </is>
      </c>
      <c r="P73" s="5" t="inlineStr">
        <is>
          <t>Indicateur européen de circularité, série Eurostat annuelle de 2010 à 2024 (17,6 % en 2010, 17,8 % en 2024, dernière valeur imputée).</t>
        </is>
      </c>
      <c r="Q73" s="5" t="inlineStr">
        <is>
          <t>retenu</t>
        </is>
      </c>
      <c r="R73" s="7" t="inlineStr"/>
      <c r="S73" s="7" t="inlineStr"/>
    </row>
    <row r="74" ht="60" customHeight="1">
      <c r="A74" s="5" t="inlineStr">
        <is>
          <t>taux_utilisation_circulaire_matieres</t>
        </is>
      </c>
      <c r="B74" s="5" t="inlineStr">
        <is>
          <t>emploi_economie_circulaire</t>
        </is>
      </c>
      <c r="C74" s="5" t="inlineStr">
        <is>
          <t>Emploi dans les secteurs de l'économie circulaire</t>
        </is>
      </c>
      <c r="D74" s="5" t="inlineStr">
        <is>
          <t>non</t>
        </is>
      </c>
      <c r="E74" s="5" t="inlineStr">
        <is>
          <t>Personnes employées dans les secteurs les plus liés à l'économie circulaire (recyclage, réparation et réemploi) selon le cadre de suivi de l'économie circulaire de l'UE, en pourcentage de l'emploi total, numérateur en …</t>
        </is>
      </c>
      <c r="F74" s="5" t="inlineStr">
        <is>
          <t>haut</t>
        </is>
      </c>
      <c r="G74" s="5" t="inlineStr">
        <is>
          <t>% de l'emploi total (numérateur en ETP)</t>
        </is>
      </c>
      <c r="H74" s="5" t="inlineStr">
        <is>
          <t>Eurostat — cei_cie011 (personnes employées dans les secteurs de l'économie circulaire)</t>
        </is>
      </c>
      <c r="I74" s="5" t="inlineStr">
        <is>
          <t>cei_cie011?freq=A&amp;indic_env=EMP&amp;unit=PC_EMP_FTE&amp;geo=FR</t>
        </is>
      </c>
      <c r="J74" s="5" t="inlineStr">
        <is>
          <t>2005-2023 (19 points, annuelle)</t>
        </is>
      </c>
      <c r="K74" s="5" t="inlineStr">
        <is>
          <t>moyen</t>
        </is>
      </c>
      <c r="L74" s="5" t="inlineStr">
        <is>
          <t>non</t>
        </is>
      </c>
      <c r="M74" s="5" t="inlineStr">
        <is>
          <t>non</t>
        </is>
      </c>
      <c r="N74" s="5" t="inlineStr">
        <is>
          <t>non</t>
        </is>
      </c>
      <c r="O74" s="5" t="inlineStr">
        <is>
          <t>retenir_variante</t>
        </is>
      </c>
      <c r="P74" s="5" t="inlineStr">
        <is>
          <t>Emploi de l'économie circulaire rattaché à planete comme moyen en variante (D39), série Eurostat sans drapeau de 2005 à 2023 (1,6 % de l'emploi en 2005, 2,0 % en 2020 et 2021, 1,8 % en 2023).</t>
        </is>
      </c>
      <c r="Q74" s="5" t="inlineStr">
        <is>
          <t>retenu</t>
        </is>
      </c>
      <c r="R74" s="7" t="inlineStr"/>
      <c r="S74" s="7" t="inlineStr"/>
    </row>
    <row r="75" ht="60" customHeight="1">
      <c r="A75" s="5" t="inlineStr">
        <is>
          <t>usage_pesticides</t>
        </is>
      </c>
      <c r="B75" s="6" t="inlineStr">
        <is>
          <t>risque_pesticides_hri1</t>
        </is>
      </c>
      <c r="C75" s="5" t="inlineStr">
        <is>
          <t>Indicateur de risque harmonisé des pesticides (HRI1)</t>
        </is>
      </c>
      <c r="D75" s="5" t="inlineStr">
        <is>
          <t>oui</t>
        </is>
      </c>
      <c r="E75" s="5" t="inlineStr">
        <is>
          <t>Indice des quantités de substances actives phytopharmaceutiques mises sur le marché, pondérées selon leur classe de danger (indicateur de risque harmonisé 1 de la directive 2009/128/CE), base 100 en moyenne 2011-2013.</t>
        </is>
      </c>
      <c r="F75" s="5" t="inlineStr">
        <is>
          <t>bas</t>
        </is>
      </c>
      <c r="G75" s="5" t="inlineStr">
        <is>
          <t>indice (moyenne 2011-2013 = 100)</t>
        </is>
      </c>
      <c r="H75" s="5" t="inlineStr">
        <is>
          <t>Eurostat — aei_hri (indicateurs de risque harmonisés pour les pesticides)</t>
        </is>
      </c>
      <c r="I75" s="5" t="inlineStr">
        <is>
          <t>aei_hri?freq=A&amp;subst_cat=HRI1&amp;unit=I11-13_AVG&amp;geo=FR</t>
        </is>
      </c>
      <c r="J75" s="5" t="inlineStr">
        <is>
          <t>2011-2024 (14 points, annuelle)</t>
        </is>
      </c>
      <c r="K75" s="5" t="inlineStr">
        <is>
          <t>pression</t>
        </is>
      </c>
      <c r="L75" s="5" t="inlineStr">
        <is>
          <t>non</t>
        </is>
      </c>
      <c r="M75" s="5" t="inlineStr">
        <is>
          <t>non</t>
        </is>
      </c>
      <c r="N75" s="5" t="inlineStr">
        <is>
          <t>non</t>
        </is>
      </c>
      <c r="O75" s="5" t="inlineStr">
        <is>
          <t>retenir</t>
        </is>
      </c>
      <c r="P75" s="5" t="inlineStr">
        <is>
          <t>Indicateur de la stratégie Ecophyto 2030, qui vise une baisse de 50 % en 2030 par rapport à 2011-2013, série Eurostat sans drapeau de 2011 à 2024 (99 en 2011, 53 en 2024).</t>
        </is>
      </c>
      <c r="Q75" s="5" t="inlineStr">
        <is>
          <t>retenu</t>
        </is>
      </c>
      <c r="R75" s="7" t="inlineStr"/>
      <c r="S75" s="7" t="inlineStr"/>
    </row>
    <row r="76" ht="60" customHeight="1">
      <c r="A76" s="5" t="inlineStr">
        <is>
          <t>usage_pesticides</t>
        </is>
      </c>
      <c r="B76" s="5" t="inlineStr">
        <is>
          <t>nodu_pesticides</t>
        </is>
      </c>
      <c r="C76" s="5" t="inlineStr">
        <is>
          <t>Nombre de doses unités de produits phytosanitaires (NODU)</t>
        </is>
      </c>
      <c r="D76" s="5" t="inlineStr">
        <is>
          <t>non</t>
        </is>
      </c>
      <c r="E76" s="5" t="inlineStr">
        <is>
          <t>Nombre de doses unités de produits phytosanitaires vendus, hors produits de biocontrôle, c'est-à-dire la surface qui serait traitée à la dose de référence (indicateur historique du plan Ecophyto, ODD 2.i6a).</t>
        </is>
      </c>
      <c r="F76" s="5" t="inlineStr">
        <is>
          <t>bas</t>
        </is>
      </c>
      <c r="G76" s="5" t="inlineStr">
        <is>
          <t>millions d'hectares de doses unités</t>
        </is>
      </c>
      <c r="H76" s="5" t="inlineStr">
        <is>
          <t>INSEE (indicateurs ODD nationaux) — ODD 2.i6a (BDM 010594432)</t>
        </is>
      </c>
      <c r="I76" s="5" t="inlineStr">
        <is>
          <t>010594432</t>
        </is>
      </c>
      <c r="J76" s="5" t="inlineStr">
        <is>
          <t>2010-2021 (12 points, annuelle)</t>
        </is>
      </c>
      <c r="K76" s="5" t="inlineStr">
        <is>
          <t>pression</t>
        </is>
      </c>
      <c r="L76" s="5" t="inlineStr">
        <is>
          <t>non</t>
        </is>
      </c>
      <c r="M76" s="5" t="inlineStr">
        <is>
          <t>non</t>
        </is>
      </c>
      <c r="N76" s="5" t="inlineStr">
        <is>
          <t>non</t>
        </is>
      </c>
      <c r="O76" s="5" t="inlineStr">
        <is>
          <t>retenir_variante</t>
        </is>
      </c>
      <c r="P76" s="5" t="inlineStr">
        <is>
          <t>Autre lecture de la famille usage_pesticides (intensité des traitements plutôt que risque), indicateur historique d'Ecophyto publié de 2010 à 2021 (12 points).</t>
        </is>
      </c>
      <c r="Q76" s="5" t="inlineStr">
        <is>
          <t>retenu</t>
        </is>
      </c>
      <c r="R76" s="7" t="inlineStr"/>
      <c r="S76" s="7" t="inlineStr"/>
    </row>
    <row r="77" ht="60" customHeight="1">
      <c r="A77" s="5" t="inlineStr">
        <is>
          <t>usage_sols</t>
        </is>
      </c>
      <c r="B77" s="6" t="inlineStr">
        <is>
          <t>artificialisation_sols</t>
        </is>
      </c>
      <c r="C77" s="5" t="inlineStr">
        <is>
          <t>Part du territoire artificialisé</t>
        </is>
      </c>
      <c r="D77" s="5" t="inlineStr">
        <is>
          <t>oui</t>
        </is>
      </c>
      <c r="E77" s="5" t="inlineStr">
        <is>
          <t>Part du territoire de France métropolitaine occupée par des sols artificialisés (bâtis, revêtus ou stabilisés, autres sols artificialisés), d'après l'enquête Teruti sur l'utilisation du territoire.</t>
        </is>
      </c>
      <c r="F77" s="5" t="inlineStr">
        <is>
          <t>bas</t>
        </is>
      </c>
      <c r="G77" s="5" t="inlineStr">
        <is>
          <t>% du territoire</t>
        </is>
      </c>
      <c r="H77" s="5" t="inlineStr">
        <is>
          <t>INSEE (d'après l'enquête Teruti du ministère de l'agriculture) — Indicateur de richesse nationale n° 10 et ODD 11.i2a (BDM 010596134)</t>
        </is>
      </c>
      <c r="I77" s="5" t="inlineStr">
        <is>
          <t>010596134</t>
        </is>
      </c>
      <c r="J77" s="5" t="inlineStr">
        <is>
          <t>1982-2023 (24 points, annuelle)</t>
        </is>
      </c>
      <c r="K77" s="5" t="inlineStr">
        <is>
          <t>pression</t>
        </is>
      </c>
      <c r="L77" s="5" t="inlineStr">
        <is>
          <t>non</t>
        </is>
      </c>
      <c r="M77" s="5" t="inlineStr">
        <is>
          <t>non</t>
        </is>
      </c>
      <c r="N77" s="5" t="inlineStr">
        <is>
          <t>oui</t>
        </is>
      </c>
      <c r="O77" s="5" t="inlineStr">
        <is>
          <t>retenir</t>
        </is>
      </c>
      <c r="P77" s="5" t="inlineStr">
        <is>
          <t>Indicateur de richesse nationale n° 10 et concept présent dans trois cadres (Doughnut, OCDE, INSEE), série annuelle de 1982 à 2023 (24 points depuis 2000) en France métropolitaine.</t>
        </is>
      </c>
      <c r="Q77" s="5" t="inlineStr">
        <is>
          <t>retenu_socle</t>
        </is>
      </c>
      <c r="R77" s="7" t="inlineStr"/>
      <c r="S77" s="7" t="inlineStr"/>
    </row>
  </sheetData>
  <autoFilter ref="A1:S77"/>
  <conditionalFormatting sqref="A2:S77">
    <cfRule type="expression" priority="1" dxfId="0">
      <formula>$R2&lt;&gt;""</formula>
    </cfRule>
  </conditionalFormatting>
  <dataValidations count="1">
    <dataValidation sqref="R2:R77" showDropDown="0" showInputMessage="0" showErrorMessage="1" allowBlank="1" errorTitle="Valeur non admise" error="Choisissez une valeur dans la liste : retenu, retenu_socle, ecarte, a_discuter" type="list">
      <formula1>"retenu,retenu_socle,ecarte,a_discuter"</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0" customWidth="1" min="1" max="1"/>
    <col width="18" customWidth="1" min="2" max="2"/>
  </cols>
  <sheetData>
    <row r="1">
      <c r="A1" s="8" t="inlineStr">
        <is>
          <t>Dimension</t>
        </is>
      </c>
      <c r="B1" s="9" t="inlineStr">
        <is>
          <t>Planète</t>
        </is>
      </c>
    </row>
    <row r="2">
      <c r="A2" s="8" t="inlineStr">
        <is>
          <t>Indicateurs candidats (fiches)</t>
        </is>
      </c>
      <c r="B2" s="9">
        <f>COUNTA(Validation!$B$2:$B$77)</f>
        <v/>
      </c>
    </row>
    <row r="3">
      <c r="A3" s="8" t="inlineStr">
        <is>
          <t>Familles distinctes</t>
        </is>
      </c>
      <c r="B3" s="9">
        <f>SUMPRODUCT((Validation!$A$2:$A$77&lt;&gt;"")/COUNTIF(Validation!$A$2:$A$77,Validation!$A$2:$A$77&amp;""))</f>
        <v/>
      </c>
    </row>
    <row r="4">
      <c r="A4" s="9" t="inlineStr"/>
      <c r="B4" s="9" t="inlineStr"/>
    </row>
    <row r="5">
      <c r="A5" s="8" t="inlineStr">
        <is>
          <t>Recommandations de l'agent</t>
        </is>
      </c>
      <c r="B5" s="9" t="inlineStr"/>
    </row>
    <row r="6">
      <c r="A6" s="9" t="inlineStr">
        <is>
          <t xml:space="preserve">  retenir</t>
        </is>
      </c>
      <c r="B6" s="9">
        <f>COUNTIF(Validation!$O$2:$O$77,"retenir")</f>
        <v/>
      </c>
    </row>
    <row r="7">
      <c r="A7" s="9" t="inlineStr">
        <is>
          <t xml:space="preserve">  retenir_variante</t>
        </is>
      </c>
      <c r="B7" s="9">
        <f>COUNTIF(Validation!$O$2:$O$77,"retenir_variante")</f>
        <v/>
      </c>
    </row>
    <row r="8">
      <c r="A8" s="9" t="inlineStr">
        <is>
          <t xml:space="preserve">  ecarter</t>
        </is>
      </c>
      <c r="B8" s="9">
        <f>COUNTIF(Validation!$O$2:$O$77,"ecarter")</f>
        <v/>
      </c>
    </row>
    <row r="9">
      <c r="A9" s="9" t="inlineStr"/>
      <c r="B9" s="9" t="inlineStr"/>
    </row>
    <row r="10">
      <c r="A10" s="8" t="inlineStr">
        <is>
          <t>Décisions par défaut</t>
        </is>
      </c>
      <c r="B10" s="9" t="inlineStr"/>
    </row>
    <row r="11">
      <c r="A11" s="9" t="inlineStr">
        <is>
          <t xml:space="preserve">  retenu_socle</t>
        </is>
      </c>
      <c r="B11" s="9">
        <f>COUNTIF(Validation!$Q$2:$Q$77,"retenu_socle")</f>
        <v/>
      </c>
    </row>
    <row r="12">
      <c r="A12" s="9" t="inlineStr">
        <is>
          <t xml:space="preserve">  retenu</t>
        </is>
      </c>
      <c r="B12" s="9">
        <f>COUNTIF(Validation!$Q$2:$Q$77,"retenu")</f>
        <v/>
      </c>
    </row>
    <row r="13">
      <c r="A13" s="9" t="inlineStr">
        <is>
          <t xml:space="preserve">  ecarte</t>
        </is>
      </c>
      <c r="B13" s="9">
        <f>COUNTIF(Validation!$Q$2:$Q$77,"ecarte")</f>
        <v/>
      </c>
    </row>
    <row r="14">
      <c r="A14" s="9" t="inlineStr">
        <is>
          <t xml:space="preserve">  a_discuter</t>
        </is>
      </c>
      <c r="B14" s="9">
        <f>COUNTIF(Validation!$Q$2:$Q$77,"a_discuter")</f>
        <v/>
      </c>
    </row>
    <row r="15">
      <c r="A15" s="9" t="inlineStr"/>
      <c r="B15" s="9" t="inlineStr"/>
    </row>
    <row r="16">
      <c r="A16" s="8" t="inlineStr">
        <is>
          <t>Vos décisions saisies (exceptions)</t>
        </is>
      </c>
      <c r="B16" s="9">
        <f>COUNTA(Validation!$R$2:$R$77)</f>
        <v/>
      </c>
    </row>
    <row r="17">
      <c r="A17" s="9" t="inlineStr">
        <is>
          <t xml:space="preserve">  dont retenu_socle</t>
        </is>
      </c>
      <c r="B17" s="9">
        <f>COUNTIF(Validation!$R$2:$R$77,"retenu_socle")</f>
        <v/>
      </c>
    </row>
    <row r="18">
      <c r="A18" s="9" t="inlineStr">
        <is>
          <t xml:space="preserve">  dont retenu</t>
        </is>
      </c>
      <c r="B18" s="9">
        <f>COUNTIF(Validation!$R$2:$R$77,"retenu")</f>
        <v/>
      </c>
    </row>
    <row r="19">
      <c r="A19" s="9" t="inlineStr">
        <is>
          <t xml:space="preserve">  dont ecarte</t>
        </is>
      </c>
      <c r="B19" s="9">
        <f>COUNTIF(Validation!$R$2:$R$77,"ecarte")</f>
        <v/>
      </c>
    </row>
    <row r="20">
      <c r="A20" s="9" t="inlineStr">
        <is>
          <t xml:space="preserve">  dont a_discuter</t>
        </is>
      </c>
      <c r="B20" s="9">
        <f>COUNTIF(Validation!$R$2:$R$77,"a_discuter")</f>
        <v/>
      </c>
    </row>
    <row r="22">
      <c r="A22" s="10" t="inlineStr">
        <is>
          <t>Les comptes se recalculent à l'ouverture dans Excel.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2026-10-16T08:09:21Z</dcterms:created>
  <dcterms:modified xmlns:dcterms="http://purl.org/dc/terms/" xmlns:xsi="http://www.w3.org/2001/XMLSchema-instance" xsi:type="dcterms:W3CDTF">2026-10-16T08:09:21Z</dcterms:modified>
</cp:coreProperties>
</file>