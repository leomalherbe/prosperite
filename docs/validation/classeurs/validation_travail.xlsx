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Validation" sheetId="2" state="visible" r:id="rId2"/>
    <sheet xmlns:r="http://schemas.openxmlformats.org/officeDocument/2006/relationships" name="Synthèse" sheetId="3" state="visible" r:id="rId3"/>
  </sheets>
  <definedNames>
    <definedName name="_xlnm._FilterDatabase" localSheetId="1" hidden="1">'Validation'!$A$1:$U$41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i val="1"/>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xf numFmtId="0" fontId="5" fillId="0" borderId="0" pivotButton="0" quotePrefix="0" xfId="0"/>
  </cellXfs>
  <cellStyles count="1">
    <cellStyle name="Normal" xfId="0" builtinId="0" hidden="0"/>
  </cellStyles>
  <dxfs count="1">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session mère</author>
  </authors>
  <commentList>
    <comment ref="T1" authorId="0" shapeId="0">
      <text>
        <t>À remplir seulement si vous divergez de la décision par défaut. Liste : retenu, retenu_socle, ecarte, a_discuter.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Gel 2 — validation des indicateurs de la dimension « Travail et emploi »</t>
        </is>
      </c>
    </row>
    <row r="2">
      <c r="A2" s="2" t="inlineStr"/>
    </row>
    <row r="3">
      <c r="A3" s="3" t="inlineStr">
        <is>
          <t>Comment remplir ce classeur (validation par exception, charte §3.6, décision D20)</t>
        </is>
      </c>
    </row>
    <row r="4">
      <c r="A4" s="2" t="inlineStr">
        <is>
          <t>1. Ouvrez l'onglet « Validation ». Chaque ligne est un indicateur candidat (une fiche YAML dans le dépôt), regroupé par sous-thème puis par famille ; la variante principale de chaque famille est en tête.</t>
        </is>
      </c>
    </row>
    <row r="5">
      <c r="A5" s="2" t="inlineStr">
        <is>
          <t>2. Les colonnes grises sont informatives. La colonne « Recommandation de l'agent » et son motif résument l'analyse ; la colonne « Décision par défaut » indique ce qui s'appliquera si vous ne remplissez rien.</t>
        </is>
      </c>
    </row>
    <row r="6">
      <c r="A6" s="2" t="inlineStr">
        <is>
          <t xml:space="preserve">   « Socle proposé » = oui : l'agent propose de cocher l'indicateur par défaut (décision D41 : les incontournables et une fiche principale par sous-thème de la dimension, 8 au plus) ; sa décision par défaut est alors retenu_socle. L'onglet « Synthèse » compte le socle par sous-thème.</t>
        </is>
      </c>
    </row>
    <row r="7">
      <c r="A7" s="2" t="inlineStr">
        <is>
          <t>3. Ne remplissez la colonne jaune « Votre décision » que là où vous divergez ou hésitez. Valeurs possibles (liste déroulante) :</t>
        </is>
      </c>
    </row>
    <row r="8">
      <c r="A8" s="2" t="inlineStr">
        <is>
          <t xml:space="preserve">     retenu = disponible dans l'outil, non coché par défaut ;</t>
        </is>
      </c>
    </row>
    <row r="9">
      <c r="A9" s="2" t="inlineStr">
        <is>
          <t xml:space="preserve">     retenu_socle = disponible ET coché par défaut dans la configuration de référence ;</t>
        </is>
      </c>
    </row>
    <row r="10">
      <c r="A10" s="2" t="inlineStr">
        <is>
          <t xml:space="preserve">     ecarte = non retenu (indiquez pourquoi dans le commentaire) ;</t>
        </is>
      </c>
    </row>
    <row r="11">
      <c r="A11" s="2" t="inlineStr">
        <is>
          <t xml:space="preserve">     a_discuter = vous voulez en parler avant de trancher (la session mère vous posera la question).</t>
        </is>
      </c>
    </row>
    <row r="12">
      <c r="A12" s="2" t="inlineStr">
        <is>
          <t>4. Le commentaire est libre ; il est lu et conservé dans la fiche.</t>
        </is>
      </c>
    </row>
    <row r="13">
      <c r="A13" s="2" t="inlineStr">
        <is>
          <t>5. Enregistrez le fichier au même endroit, sous le même nom : la session mère le relit automatiquement.</t>
        </is>
      </c>
    </row>
    <row r="14">
      <c r="A14" s="2" t="inlineStr"/>
    </row>
    <row r="15">
      <c r="A15" s="3" t="inlineStr">
        <is>
          <t>Rappels</t>
        </is>
      </c>
    </row>
    <row r="16">
      <c r="A16" s="2" t="inlineStr">
        <is>
          <t>— Une famille regroupe des variantes d'un même concept (autre seuil, autre source, ventilation) : en général une seule variante est cochée par défaut.</t>
        </is>
      </c>
    </row>
    <row r="17">
      <c r="A17" s="2" t="inlineStr">
        <is>
          <t>— Le socle est une proposition : pour l'élargir, mettez retenu_socle sur d'autres lignes ; pour le réduire, mettez retenu sur une ligne proposée.</t>
        </is>
      </c>
    </row>
    <row r="18">
      <c r="A18" s="2" t="inlineStr">
        <is>
          <t>— « Incontournable » = présent dans au moins trois cadres de référence (Doughnut, Stiglitz-Sen-Fitoussi, OCDE, Eurostat, INSEE).</t>
        </is>
      </c>
    </row>
    <row r="19">
      <c r="A19" s="2" t="inlineStr">
        <is>
          <t>— « Déclaratif » = donnée d'enquête d'opinion ou de ressenti ; « Composite » = indice agrégé d'un producteur tiers (V-Dem, CPI…).</t>
        </is>
      </c>
    </row>
    <row r="20">
      <c r="A20" s="2" t="inlineStr">
        <is>
          <t>— Sens « ambigu » : l'agent n'a pas pu établir si plus haut est mieux ; ces lignes sont écartées par défaut.</t>
        </is>
      </c>
    </row>
    <row r="21">
      <c r="A21" s="2" t="inlineStr">
        <is>
          <t>— Les bornes (seuil minimal, objectif) ne sont pas traitées ici : elles viendront après le gel 2 (socle v1).</t>
        </is>
      </c>
    </row>
    <row r="22">
      <c r="A22" s="2" t="inlineStr"/>
    </row>
    <row r="23">
      <c r="A23" s="2" t="inlineStr">
        <is>
          <t>Exemple de ligne remplie : décision « ecarte », commentaire « doublon de la série INSEE équivalente ; garder la variante INSEE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8" customWidth="1" min="3" max="3"/>
    <col width="44" customWidth="1" min="4" max="4"/>
    <col width="11" customWidth="1" min="5" max="5"/>
    <col width="60" customWidth="1" min="6" max="6"/>
    <col width="8" customWidth="1" min="7" max="7"/>
    <col width="18" customWidth="1" min="8" max="8"/>
    <col width="36" customWidth="1" min="9" max="9"/>
    <col width="30" customWidth="1" min="10" max="10"/>
    <col width="22" customWidth="1" min="11" max="11"/>
    <col width="10" customWidth="1" min="12" max="12"/>
    <col width="10" customWidth="1" min="13" max="13"/>
    <col width="10" customWidth="1" min="14" max="14"/>
    <col width="13" customWidth="1" min="15" max="15"/>
    <col width="11" customWidth="1" min="16" max="16"/>
    <col width="16" customWidth="1" min="17" max="17"/>
    <col width="70" customWidth="1" min="18" max="18"/>
    <col width="18" customWidth="1" min="19" max="19"/>
    <col width="20" customWidth="1" min="20" max="20"/>
    <col width="40" customWidth="1" min="21" max="21"/>
  </cols>
  <sheetData>
    <row r="1" ht="42" customHeight="1">
      <c r="A1" s="4" t="inlineStr">
        <is>
          <t>Sous-thème</t>
        </is>
      </c>
      <c r="B1" s="4" t="inlineStr">
        <is>
          <t>Famille</t>
        </is>
      </c>
      <c r="C1" s="4" t="inlineStr">
        <is>
          <t>Identifiant</t>
        </is>
      </c>
      <c r="D1" s="4" t="inlineStr">
        <is>
          <t>Libellé</t>
        </is>
      </c>
      <c r="E1" s="4" t="inlineStr">
        <is>
          <t>Variante principale</t>
        </is>
      </c>
      <c r="F1" s="4" t="inlineStr">
        <is>
          <t>Définition courte</t>
        </is>
      </c>
      <c r="G1" s="4" t="inlineStr">
        <is>
          <t>Sens</t>
        </is>
      </c>
      <c r="H1" s="4" t="inlineStr">
        <is>
          <t>Unité</t>
        </is>
      </c>
      <c r="I1" s="4" t="inlineStr">
        <is>
          <t>Source</t>
        </is>
      </c>
      <c r="J1" s="4" t="inlineStr">
        <is>
          <t>Série (identifiant)</t>
        </is>
      </c>
      <c r="K1" s="4" t="inlineStr">
        <is>
          <t>Période</t>
        </is>
      </c>
      <c r="L1" s="4" t="inlineStr">
        <is>
          <t>Type</t>
        </is>
      </c>
      <c r="M1" s="4" t="inlineStr">
        <is>
          <t>Déclaratif</t>
        </is>
      </c>
      <c r="N1" s="4" t="inlineStr">
        <is>
          <t>Composite</t>
        </is>
      </c>
      <c r="O1" s="4" t="inlineStr">
        <is>
          <t>Incontournable</t>
        </is>
      </c>
      <c r="P1" s="4" t="inlineStr">
        <is>
          <t>Socle proposé</t>
        </is>
      </c>
      <c r="Q1" s="4" t="inlineStr">
        <is>
          <t>Recommandation de l'agent</t>
        </is>
      </c>
      <c r="R1" s="4" t="inlineStr">
        <is>
          <t>Motif de la recommandation</t>
        </is>
      </c>
      <c r="S1" s="4" t="inlineStr">
        <is>
          <t>Décision par défaut (si vous ne remplissez rien)</t>
        </is>
      </c>
      <c r="T1" s="4" t="inlineStr">
        <is>
          <t>Votre décision (liste déroulante)</t>
        </is>
      </c>
      <c r="U1" s="4" t="inlineStr">
        <is>
          <t>Votre commentaire</t>
        </is>
      </c>
    </row>
    <row r="2" ht="60" customHeight="1">
      <c r="A2" s="5" t="inlineStr">
        <is>
          <t>chômage</t>
        </is>
      </c>
      <c r="B2" s="5" t="inlineStr">
        <is>
          <t>chomage_longue_duree</t>
        </is>
      </c>
      <c r="C2" s="6" t="inlineStr">
        <is>
          <t>taux_chomage_longue_duree</t>
        </is>
      </c>
      <c r="D2" s="5" t="inlineStr">
        <is>
          <t>Taux de chômage de longue durée</t>
        </is>
      </c>
      <c r="E2" s="5" t="inlineStr">
        <is>
          <t>oui</t>
        </is>
      </c>
      <c r="F2" s="5" t="inlineStr">
        <is>
          <t>Part des chômeurs au sens du BIT depuis un an ou plus parmi les actifs de 15 ans ou plus, en moyenne annuelle ; calculée sur les séries longues rétropolées de l'enquête Emploi (nombre de chômeurs de longue durée divisé …</t>
        </is>
      </c>
      <c r="G2" s="5" t="inlineStr">
        <is>
          <t>bas</t>
        </is>
      </c>
      <c r="H2" s="5" t="inlineStr">
        <is>
          <t>% de la population active de 15 ans ou plus</t>
        </is>
      </c>
      <c r="I2" s="5" t="inlineStr">
        <is>
          <t>INSEE — Melodi DD_EEC_SERIES (enquête Emploi, séries longues), mesures UNEMP (UNEMPDUR=LT) et ACTPOP</t>
        </is>
      </c>
      <c r="J2" s="5" t="inlineStr">
        <is>
          <t>DD_EEC_SERIES : UNEMP (UNEMPDUR=LT, AGE=_T) / ACTPOP (AGE=_T) x 100</t>
        </is>
      </c>
      <c r="K2" s="5" t="inlineStr">
        <is>
          <t>1975-2025 (26 points, annuelle)</t>
        </is>
      </c>
      <c r="L2" s="5" t="inlineStr">
        <is>
          <t>resultat</t>
        </is>
      </c>
      <c r="M2" s="5" t="inlineStr">
        <is>
          <t>non</t>
        </is>
      </c>
      <c r="N2" s="5" t="inlineStr">
        <is>
          <t>non</t>
        </is>
      </c>
      <c r="O2" s="5" t="inlineStr">
        <is>
          <t>non</t>
        </is>
      </c>
      <c r="P2" s="5" t="inlineStr">
        <is>
          <t>non</t>
        </is>
      </c>
      <c r="Q2" s="5" t="inlineStr">
        <is>
          <t>retenir</t>
        </is>
      </c>
      <c r="R2" s="5" t="inlineStr">
        <is>
          <t>Indicateur des cadres OCDE et Qualité de vie d'Eurostat, calculé sur deux séries annuelles rétropolées de l'INSEE (1975-2025) et recoupé avec la série trimestrielle de l'INSEE et avec Eurostat (2,3 % en 2003, 3,1 % en 2015, 1,8 % en 2025), alors que la série européenne porte le drapeau « définition différente » de 2021 à 2025.</t>
        </is>
      </c>
      <c r="S2" s="5" t="inlineStr">
        <is>
          <t>retenu</t>
        </is>
      </c>
      <c r="T2" s="7" t="inlineStr"/>
      <c r="U2" s="7" t="inlineStr"/>
    </row>
    <row r="3" ht="60" customHeight="1">
      <c r="A3" s="5" t="inlineStr">
        <is>
          <t>chômage</t>
        </is>
      </c>
      <c r="B3" s="5" t="inlineStr">
        <is>
          <t>halo_chomage</t>
        </is>
      </c>
      <c r="C3" s="6" t="inlineStr">
        <is>
          <t>halo_chomage</t>
        </is>
      </c>
      <c r="D3" s="5" t="inlineStr">
        <is>
          <t>Part du halo autour du chômage dans la population des 15-64 ans</t>
        </is>
      </c>
      <c r="E3" s="5" t="inlineStr">
        <is>
          <t>oui</t>
        </is>
      </c>
      <c r="F3" s="5" t="inlineStr">
        <is>
          <t>Part des personnes de 15 à 64 ans sans emploi qui souhaitent travailler mais ne sont pas comptées comme chômeurs au sens du BIT (non disponibles rapidement ou ne recherchant pas activement), dans la population du même …</t>
        </is>
      </c>
      <c r="G3" s="5" t="inlineStr">
        <is>
          <t>bas</t>
        </is>
      </c>
      <c r="H3" s="5" t="inlineStr">
        <is>
          <t>% de la population de 15 à 64 ans</t>
        </is>
      </c>
      <c r="I3" s="5" t="inlineStr">
        <is>
          <t>INSEE — BDM, enquête Emploi trimestrielle (halo autour du chômage)</t>
        </is>
      </c>
      <c r="J3" s="5" t="inlineStr">
        <is>
          <t>011818623</t>
        </is>
      </c>
      <c r="K3" s="5" t="inlineStr">
        <is>
          <t>2003-2026 (trimestrielle)</t>
        </is>
      </c>
      <c r="L3" s="5" t="inlineStr">
        <is>
          <t>resultat</t>
        </is>
      </c>
      <c r="M3" s="5" t="inlineStr">
        <is>
          <t>non</t>
        </is>
      </c>
      <c r="N3" s="5" t="inlineStr">
        <is>
          <t>non</t>
        </is>
      </c>
      <c r="O3" s="5" t="inlineStr">
        <is>
          <t>non</t>
        </is>
      </c>
      <c r="P3" s="5" t="inlineStr">
        <is>
          <t>non</t>
        </is>
      </c>
      <c r="Q3" s="5" t="inlineStr">
        <is>
          <t>retenir</t>
        </is>
      </c>
      <c r="R3" s="5" t="inlineStr">
        <is>
          <t>Composante du chômage caché nommée dans le contenu de la dimension, en série INSEE trimestrielle de 2003 à 2026 sur les 15-64 ans, plus longue que la série annuelle Melodi des 15 ans ou plus (2014-2025), qui reste en variante (audit M06 J1).</t>
        </is>
      </c>
      <c r="S3" s="5" t="inlineStr">
        <is>
          <t>retenu</t>
        </is>
      </c>
      <c r="T3" s="7" t="inlineStr"/>
      <c r="U3" s="7" t="inlineStr"/>
    </row>
    <row r="4" ht="60" customHeight="1">
      <c r="A4" s="5" t="inlineStr">
        <is>
          <t>chômage</t>
        </is>
      </c>
      <c r="B4" s="5" t="inlineStr">
        <is>
          <t>neet</t>
        </is>
      </c>
      <c r="C4" s="6" t="inlineStr">
        <is>
          <t>neet</t>
        </is>
      </c>
      <c r="D4" s="5" t="inlineStr">
        <is>
          <t>Jeunes de 15 à 29 ans ni en emploi, ni en études, ni en formation (NEET)</t>
        </is>
      </c>
      <c r="E4" s="5" t="inlineStr">
        <is>
          <t>oui</t>
        </is>
      </c>
      <c r="F4" s="5" t="inlineStr">
        <is>
          <t>Part des jeunes de 15 à 29 ans qui ne sont ni en emploi, ni en études, ni en formation, en moyenne annuelle (INSEE, enquête Emploi, séries longues).</t>
        </is>
      </c>
      <c r="G4" s="5" t="inlineStr">
        <is>
          <t>bas</t>
        </is>
      </c>
      <c r="H4" s="5" t="inlineStr">
        <is>
          <t>% des jeunes de 15 à 29 ans</t>
        </is>
      </c>
      <c r="I4" s="5" t="inlineStr">
        <is>
          <t>INSEE — Melodi DD_EEC_SERIES (enquête Emploi, séries longues), mesure PT_SEX_AGE_IN_NEET</t>
        </is>
      </c>
      <c r="J4" s="5" t="inlineStr">
        <is>
          <t>DD_EEC_SERIES?AGE=Y15T29&amp;COMPOHALO=_T&amp;EDUC=_T&amp;EEC_MEASURE=PT_SEX_AGE_IN_NEET&amp;EMPFORM=_T&amp;EMPSTA=3&amp;PCS=_T&amp;SEX=_T&amp;UNDEREMP=_T&amp;UNEMPDUR=_T&amp;UNIT_MEASURE=PT&amp;WKTIME=_T</t>
        </is>
      </c>
      <c r="K4" s="5" t="inlineStr">
        <is>
          <t>2003-2025 (23 points, annuelle)</t>
        </is>
      </c>
      <c r="L4" s="5" t="inlineStr">
        <is>
          <t>resultat</t>
        </is>
      </c>
      <c r="M4" s="5" t="inlineStr">
        <is>
          <t>non</t>
        </is>
      </c>
      <c r="N4" s="5" t="inlineStr">
        <is>
          <t>non</t>
        </is>
      </c>
      <c r="O4" s="5" t="inlineStr">
        <is>
          <t>non</t>
        </is>
      </c>
      <c r="P4" s="5" t="inlineStr">
        <is>
          <t>non</t>
        </is>
      </c>
      <c r="Q4" s="5" t="inlineStr">
        <is>
          <t>retenir</t>
        </is>
      </c>
      <c r="R4" s="5" t="inlineStr">
        <is>
          <t>Concept nommé dans le contenu de la dimension et cité par deux cadres (Doughnut, OCDE), doté d'une cible européenne de 9 % en 2030 pour les 15-29 ans, en série annuelle INSEE de 2003 à 2025 (23 points).</t>
        </is>
      </c>
      <c r="S4" s="5" t="inlineStr">
        <is>
          <t>retenu</t>
        </is>
      </c>
      <c r="T4" s="7" t="inlineStr"/>
      <c r="U4" s="7" t="inlineStr"/>
    </row>
    <row r="5" ht="60" customHeight="1">
      <c r="A5" s="5" t="inlineStr">
        <is>
          <t>chômage</t>
        </is>
      </c>
      <c r="B5" s="5" t="inlineStr">
        <is>
          <t>sous_utilisation</t>
        </is>
      </c>
      <c r="C5" s="6" t="inlineStr">
        <is>
          <t>sous_utilisation_main_oeuvre</t>
        </is>
      </c>
      <c r="D5" s="5" t="inlineStr">
        <is>
          <t>Part des personnes contraintes dans leur offre de travail (chômage, halo, sous-emploi)</t>
        </is>
      </c>
      <c r="E5" s="5" t="inlineStr">
        <is>
          <t>oui</t>
        </is>
      </c>
      <c r="F5" s="5" t="inlineStr">
        <is>
          <t>Part des personnes de 15 à 64 ans au chômage, dans le halo autour du chômage ou en sous-emploi parmi les participants au marché du travail (personnes en emploi, au chômage ou dans le halo) ; INSEE, enquête Emploi, série …</t>
        </is>
      </c>
      <c r="G5" s="5" t="inlineStr">
        <is>
          <t>bas</t>
        </is>
      </c>
      <c r="H5" s="5" t="inlineStr">
        <is>
          <t>% des participants au marché du travail de 15 à 64 ans</t>
        </is>
      </c>
      <c r="I5" s="5" t="inlineStr">
        <is>
          <t>INSEE — BDM, enquête Emploi trimestrielle (indicateurs complémentaires)</t>
        </is>
      </c>
      <c r="J5" s="5" t="inlineStr">
        <is>
          <t>011818634</t>
        </is>
      </c>
      <c r="K5" s="5" t="inlineStr">
        <is>
          <t>2003-2026 (trimestrielle)</t>
        </is>
      </c>
      <c r="L5" s="5" t="inlineStr">
        <is>
          <t>resultat</t>
        </is>
      </c>
      <c r="M5" s="5" t="inlineStr">
        <is>
          <t>non</t>
        </is>
      </c>
      <c r="N5" s="5" t="inlineStr">
        <is>
          <t>non</t>
        </is>
      </c>
      <c r="O5" s="5" t="inlineStr">
        <is>
          <t>non</t>
        </is>
      </c>
      <c r="P5" s="5" t="inlineStr">
        <is>
          <t>non</t>
        </is>
      </c>
      <c r="Q5" s="5" t="inlineStr">
        <is>
          <t>retenir</t>
        </is>
      </c>
      <c r="R5" s="5" t="inlineStr">
        <is>
          <t>Mesure synthétique de la sous-utilisation du travail retenue par l'OCDE (13_2), série INSEE trimestrielle de 2003 à 2026 sans équivalent annuel de même définition ; elle additionne chômage, halo et sous-emploi et ne se cumule pas au socle avec taux_chomage, halo_chomage et taux_sous_emploi (familles imbriquées).</t>
        </is>
      </c>
      <c r="S5" s="5" t="inlineStr">
        <is>
          <t>retenu</t>
        </is>
      </c>
      <c r="T5" s="7" t="inlineStr"/>
      <c r="U5" s="7" t="inlineStr"/>
    </row>
    <row r="6" ht="60" customHeight="1">
      <c r="A6" s="5" t="inlineStr">
        <is>
          <t>chômage</t>
        </is>
      </c>
      <c r="B6" s="5" t="inlineStr">
        <is>
          <t>taux_chomage</t>
        </is>
      </c>
      <c r="C6" s="6" t="inlineStr">
        <is>
          <t>taux_chomage</t>
        </is>
      </c>
      <c r="D6" s="5" t="inlineStr">
        <is>
          <t>Taux de chômage au sens du BIT</t>
        </is>
      </c>
      <c r="E6" s="5" t="inlineStr">
        <is>
          <t>oui</t>
        </is>
      </c>
      <c r="F6" s="5" t="inlineStr">
        <is>
          <t>Part des chômeurs au sens du BIT (sans emploi, disponibles, ayant cherché activement un emploi) parmi les actifs de 15 ans ou plus, en moyenne annuelle (INSEE, enquête Emploi, séries longues rétropolées, champ France …</t>
        </is>
      </c>
      <c r="G6" s="5" t="inlineStr">
        <is>
          <t>bas</t>
        </is>
      </c>
      <c r="H6" s="5" t="inlineStr">
        <is>
          <t>% de la population active de 15 ans ou plus</t>
        </is>
      </c>
      <c r="I6" s="5" t="inlineStr">
        <is>
          <t>INSEE — Melodi DD_EEC_SERIES (enquête Emploi, séries longues), mesure UNEMPRATE</t>
        </is>
      </c>
      <c r="J6" s="5" t="inlineStr">
        <is>
          <t>DD_EEC_SERIES?AGE=_T&amp;COMPOHALO=_T&amp;EDUC=_T&amp;EEC_MEASURE=UNEMPRATE&amp;EMPFORM=_T&amp;EMPSTA=2&amp;PCS=_T&amp;SEX=_T&amp;UNDEREMP=_T&amp;UNEMPDUR=_T&amp;UNIT_MEASURE=PT&amp;WKTIME=_T</t>
        </is>
      </c>
      <c r="K6" s="5" t="inlineStr">
        <is>
          <t>1975-2025 (26 points, annuelle)</t>
        </is>
      </c>
      <c r="L6" s="5" t="inlineStr">
        <is>
          <t>resultat</t>
        </is>
      </c>
      <c r="M6" s="5" t="inlineStr">
        <is>
          <t>non</t>
        </is>
      </c>
      <c r="N6" s="5" t="inlineStr">
        <is>
          <t>non</t>
        </is>
      </c>
      <c r="O6" s="5" t="inlineStr">
        <is>
          <t>non</t>
        </is>
      </c>
      <c r="P6" s="5" t="inlineStr">
        <is>
          <t>oui</t>
        </is>
      </c>
      <c r="Q6" s="5" t="inlineStr">
        <is>
          <t>retenir</t>
        </is>
      </c>
      <c r="R6" s="5" t="inlineStr">
        <is>
          <t>Indicateur de référence du chômage, présent dans le cadre Qualité de vie d'Eurostat, publié par l'INSEE en série annuelle rétropolée de 1975 à 2025 (26 points depuis 2000).</t>
        </is>
      </c>
      <c r="S6" s="5" t="inlineStr">
        <is>
          <t>retenu_socle</t>
        </is>
      </c>
      <c r="T6" s="7" t="inlineStr"/>
      <c r="U6" s="7" t="inlineStr"/>
    </row>
    <row r="7" ht="60" customHeight="1">
      <c r="A7" s="5" t="inlineStr">
        <is>
          <t>chômage</t>
        </is>
      </c>
      <c r="B7" s="5" t="inlineStr">
        <is>
          <t>taux_chomage</t>
        </is>
      </c>
      <c r="C7" s="5" t="inlineStr">
        <is>
          <t>demandeurs_emploi</t>
        </is>
      </c>
      <c r="D7" s="5" t="inlineStr">
        <is>
          <t>Demandeurs d'emploi inscrits en catégorie A</t>
        </is>
      </c>
      <c r="E7" s="5" t="inlineStr">
        <is>
          <t>non</t>
        </is>
      </c>
      <c r="F7" s="5" t="inlineStr">
        <is>
          <t>Nombre de demandeurs d'emploi inscrits à France Travail (ex-Pôle emploi) en catégorie A (sans emploi et tenus de rechercher un emploi), France hors Mayotte, série trimestrielle corrigée des variations saisonnières et …</t>
        </is>
      </c>
      <c r="G7" s="5" t="inlineStr">
        <is>
          <t>bas</t>
        </is>
      </c>
      <c r="H7" s="5" t="inlineStr">
        <is>
          <t>nombre de personnes</t>
        </is>
      </c>
      <c r="I7" s="5" t="inlineStr">
        <is>
          <t>France Travail et DARES (via INSEE BDM) — BDM, demandeurs d'emploi inscrits (catégories A, B, C)</t>
        </is>
      </c>
      <c r="J7" s="5" t="inlineStr">
        <is>
          <t>010597456</t>
        </is>
      </c>
      <c r="K7" s="5" t="inlineStr">
        <is>
          <t>1996-2026 (trimestrielle)</t>
        </is>
      </c>
      <c r="L7" s="5" t="inlineStr">
        <is>
          <t>resultat</t>
        </is>
      </c>
      <c r="M7" s="5" t="inlineStr">
        <is>
          <t>non</t>
        </is>
      </c>
      <c r="N7" s="5" t="inlineStr">
        <is>
          <t>non</t>
        </is>
      </c>
      <c r="O7" s="5" t="inlineStr">
        <is>
          <t>non</t>
        </is>
      </c>
      <c r="P7" s="5" t="inlineStr">
        <is>
          <t>non</t>
        </is>
      </c>
      <c r="Q7" s="5" t="inlineStr">
        <is>
          <t>ecarter</t>
        </is>
      </c>
      <c r="R7" s="5" t="inlineStr">
        <is>
          <t>Série administrative en nombre, sensible aux règles d'inscription et de radiation, dominée par le taux de chômage au sens du BIT de l'enquête Emploi (méthode : enquête plutôt que série enregistrée).</t>
        </is>
      </c>
      <c r="S7" s="5" t="inlineStr">
        <is>
          <t>ecarte</t>
        </is>
      </c>
      <c r="T7" s="7" t="inlineStr"/>
      <c r="U7" s="7" t="inlineStr"/>
    </row>
    <row r="8" ht="60" customHeight="1">
      <c r="A8" s="5" t="inlineStr">
        <is>
          <t>conditions et santé au travail</t>
        </is>
      </c>
      <c r="B8" s="5" t="inlineStr">
        <is>
          <t>accidents_travail</t>
        </is>
      </c>
      <c r="C8" s="6" t="inlineStr">
        <is>
          <t>accidents_travail</t>
        </is>
      </c>
      <c r="D8" s="5" t="inlineStr">
        <is>
          <t>Fréquence des accidents du travail avec arrêt</t>
        </is>
      </c>
      <c r="E8" s="5" t="inlineStr">
        <is>
          <t>oui</t>
        </is>
      </c>
      <c r="F8" s="5" t="inlineStr">
        <is>
          <t>Nombre d'accidents du travail avec arrêt reconnus dans l'année pour 1 000 salariés du régime général de la Sécurité sociale (indice de fréquence de l'Assurance maladie, risques professionnels).</t>
        </is>
      </c>
      <c r="G8" s="5" t="inlineStr">
        <is>
          <t>bas</t>
        </is>
      </c>
      <c r="H8" s="5" t="inlineStr">
        <is>
          <t>accidents pour 1 000 salariés</t>
        </is>
      </c>
      <c r="I8" s="5" t="inlineStr">
        <is>
          <t>Assurance maladie (risques professionnels) — data.ameli.fr, sinistralité par secteur d'activité (NAF 1), tous secteurs</t>
        </is>
      </c>
      <c r="J8" s="5" t="inlineStr">
        <is>
          <t>https://data.ameli.fr/api/explore/v2.1/catalog/datasets/sinistralite-par-secteur-d-activite-concerne-naf-1 (Accidents du travail.TOUS.Tous secteurs confondus.Tous secteurs confondus#indice_frequence_int)</t>
        </is>
      </c>
      <c r="K8" s="5" t="inlineStr">
        <is>
          <t>2005-2024 (19 points, annuelle)</t>
        </is>
      </c>
      <c r="L8" s="5" t="inlineStr">
        <is>
          <t>resultat</t>
        </is>
      </c>
      <c r="M8" s="5" t="inlineStr">
        <is>
          <t>non</t>
        </is>
      </c>
      <c r="N8" s="5" t="inlineStr">
        <is>
          <t>non</t>
        </is>
      </c>
      <c r="O8" s="5" t="inlineStr">
        <is>
          <t>non</t>
        </is>
      </c>
      <c r="P8" s="5" t="inlineStr">
        <is>
          <t>non</t>
        </is>
      </c>
      <c r="Q8" s="5" t="inlineStr">
        <is>
          <t>retenir</t>
        </is>
      </c>
      <c r="R8" s="5" t="inlineStr">
        <is>
          <t>Série nationale de référence des accidents du travail (2005-2024, 19 points, pas de valeur en 2020), plus longue et plus stable que la série européenne ESAW, qui compte quatre ruptures.</t>
        </is>
      </c>
      <c r="S8" s="5" t="inlineStr">
        <is>
          <t>retenu</t>
        </is>
      </c>
      <c r="T8" s="7" t="inlineStr"/>
      <c r="U8" s="7" t="inlineStr"/>
    </row>
    <row r="9" ht="60" customHeight="1">
      <c r="A9" s="5" t="inlineStr">
        <is>
          <t>conditions et santé au travail</t>
        </is>
      </c>
      <c r="B9" s="5" t="inlineStr">
        <is>
          <t>accidents_travail_mortels</t>
        </is>
      </c>
      <c r="C9" s="6" t="inlineStr">
        <is>
          <t>accidents_travail_mortels</t>
        </is>
      </c>
      <c r="D9" s="5" t="inlineStr">
        <is>
          <t>Décès par accident du travail (régime général)</t>
        </is>
      </c>
      <c r="E9" s="5" t="inlineStr">
        <is>
          <t>oui</t>
        </is>
      </c>
      <c r="F9" s="5" t="inlineStr">
        <is>
          <t>Nombre de décès consécutifs à un accident du travail reconnu, survenus avant consolidation, pour 100 000 salariés du régime général de la Sécurité sociale (Assurance maladie, risques professionnels) ; calculé par le …</t>
        </is>
      </c>
      <c r="G9" s="5" t="inlineStr">
        <is>
          <t>bas</t>
        </is>
      </c>
      <c r="H9" s="5" t="inlineStr">
        <is>
          <t>décès pour 100 000 salariés</t>
        </is>
      </c>
      <c r="I9" s="5" t="inlineStr">
        <is>
          <t>Assurance maladie (risques professionnels) — data.ameli.fr : décès au travail par secteur d'activité (NAF 1 et NAF 5), tous secteurs, rapportés aux salariés du jeu de sinistralité par secteur d'activité (NAF 1)</t>
        </is>
      </c>
      <c r="J9" s="5" t="inlineStr">
        <is>
          <t>https://data.ameli.fr/api/explore/v2.1/catalog/datasets/deces-par-secteur-d-activite-naf-1-et-naf-5 (Accidents du travail.TOUS.TOUS#nb_deces_int) / sinistralite-par-secteur-d-activite-concerne-naf-1 (Accidents du travail.TOUS.Tous secteurs confondus.Tous secteurs confondus#nb_salaries_int) x 100000</t>
        </is>
      </c>
      <c r="K9" s="5" t="inlineStr">
        <is>
          <t>2015-2024 (10 points, annuelle)</t>
        </is>
      </c>
      <c r="L9" s="5" t="inlineStr">
        <is>
          <t>resultat</t>
        </is>
      </c>
      <c r="M9" s="5" t="inlineStr">
        <is>
          <t>non</t>
        </is>
      </c>
      <c r="N9" s="5" t="inlineStr">
        <is>
          <t>non</t>
        </is>
      </c>
      <c r="O9" s="5" t="inlineStr">
        <is>
          <t>non</t>
        </is>
      </c>
      <c r="P9" s="5" t="inlineStr">
        <is>
          <t>non</t>
        </is>
      </c>
      <c r="Q9" s="5" t="inlineStr">
        <is>
          <t>retenir</t>
        </is>
      </c>
      <c r="R9" s="5" t="inlineStr">
        <is>
          <t>Série nationale des décès par accident du travail du régime général (D40), calculée sur deux jeux de l'Assurance maladie de 2015 à 2024 (10 points) et recoupée avec les nombres de décès publiés (733 en 2019, 738 en 2022, 759 en 2023), la série européenne hsw_n2_02 (2008-2024, quatre ruptures) restant en variante.</t>
        </is>
      </c>
      <c r="S9" s="5" t="inlineStr">
        <is>
          <t>retenu</t>
        </is>
      </c>
      <c r="T9" s="7" t="inlineStr"/>
      <c r="U9" s="7" t="inlineStr"/>
    </row>
    <row r="10" ht="60" customHeight="1">
      <c r="A10" s="5" t="inlineStr">
        <is>
          <t>conditions et santé au travail</t>
        </is>
      </c>
      <c r="B10" s="5" t="inlineStr">
        <is>
          <t>accidents_travail_mortels</t>
        </is>
      </c>
      <c r="C10" s="5" t="inlineStr">
        <is>
          <t>accidents_travail_mortels_eurostat</t>
        </is>
      </c>
      <c r="D10" s="5" t="inlineStr">
        <is>
          <t>Accidents du travail mortels, taux d'incidence (Eurostat, statistiques européennes ESAW)</t>
        </is>
      </c>
      <c r="E10" s="5" t="inlineStr">
        <is>
          <t>non</t>
        </is>
      </c>
      <c r="F10" s="5" t="inlineStr">
        <is>
          <t>Nombre d'accidents du travail mortels pour 100 000 personnes occupées, toutes activités (NACE Rév. 2, total), selon les statistiques européennes des accidents du travail (ESAW) transmises par la France à Eurostat.</t>
        </is>
      </c>
      <c r="G10" s="5" t="inlineStr">
        <is>
          <t>bas</t>
        </is>
      </c>
      <c r="H10" s="5" t="inlineStr">
        <is>
          <t>accidents mortels pour 100 000 personnes occupées</t>
        </is>
      </c>
      <c r="I10" s="5" t="inlineStr">
        <is>
          <t>Eurostat — hsw_n2_02 (accidents du travail mortels par activité de la NACE Rév. 2)</t>
        </is>
      </c>
      <c r="J10" s="5" t="inlineStr">
        <is>
          <t>hsw_n2_02?freq=A&amp;unit=RT_INC&amp;nace_r2=TOTAL&amp;geo=FR</t>
        </is>
      </c>
      <c r="K10" s="5" t="inlineStr">
        <is>
          <t>2008-2024 (17 points, annuelle)</t>
        </is>
      </c>
      <c r="L10" s="5" t="inlineStr">
        <is>
          <t>resultat</t>
        </is>
      </c>
      <c r="M10" s="5" t="inlineStr">
        <is>
          <t>non</t>
        </is>
      </c>
      <c r="N10" s="5" t="inlineStr">
        <is>
          <t>non</t>
        </is>
      </c>
      <c r="O10" s="5" t="inlineStr">
        <is>
          <t>non</t>
        </is>
      </c>
      <c r="P10" s="5" t="inlineStr">
        <is>
          <t>non</t>
        </is>
      </c>
      <c r="Q10" s="5" t="inlineStr">
        <is>
          <t>retenir_variante</t>
        </is>
      </c>
      <c r="R10" s="5" t="inlineStr">
        <is>
          <t>Seule série des accidents mortels avant 2015 (2008-2024, 17 points, ruptures en 2014, 2017, 2020 et 2022), gardée en variante de la série nationale pour la profondeur (D40, D45).</t>
        </is>
      </c>
      <c r="S10" s="5" t="inlineStr">
        <is>
          <t>retenu</t>
        </is>
      </c>
      <c r="T10" s="7" t="inlineStr"/>
      <c r="U10" s="7" t="inlineStr"/>
    </row>
    <row r="11" ht="60" customHeight="1">
      <c r="A11" s="5" t="inlineStr">
        <is>
          <t>conditions et santé au travail</t>
        </is>
      </c>
      <c r="B11" s="5" t="inlineStr">
        <is>
          <t>duree_travail</t>
        </is>
      </c>
      <c r="C11" s="6" t="inlineStr">
        <is>
          <t>duree_hebdomadaire_travail</t>
        </is>
      </c>
      <c r="D11" s="5" t="inlineStr">
        <is>
          <t>Durée hebdomadaire habituelle du travail</t>
        </is>
      </c>
      <c r="E11" s="5" t="inlineStr">
        <is>
          <t>oui</t>
        </is>
      </c>
      <c r="F11" s="5" t="inlineStr">
        <is>
          <t>Nombre moyen d'heures habituellement travaillées par semaine dans l'activité principale par les personnes en emploi de 15 ans ou plus (Eurostat, enquête sur les forces de travail).</t>
        </is>
      </c>
      <c r="G11" s="5" t="inlineStr">
        <is>
          <t>ambigu</t>
        </is>
      </c>
      <c r="H11" s="5" t="inlineStr">
        <is>
          <t>heures par semaine</t>
        </is>
      </c>
      <c r="I11" s="5" t="inlineStr">
        <is>
          <t>Eurostat — lfsa_ewhuis (enquête sur les forces de travail)</t>
        </is>
      </c>
      <c r="J11" s="5" t="inlineStr">
        <is>
          <t>lfsa_ewhuis?freq=A&amp;isco08=TOTAL&amp;wstatus=EMP&amp;worktime=TOTAL&amp;age=Y_GE15&amp;sex=T&amp;unit=HR&amp;geo=FR</t>
        </is>
      </c>
      <c r="K11" s="5" t="inlineStr">
        <is>
          <t>2000-2025 (26 points, annuelle)</t>
        </is>
      </c>
      <c r="L11" s="5" t="inlineStr">
        <is>
          <t>resultat</t>
        </is>
      </c>
      <c r="M11" s="5" t="inlineStr">
        <is>
          <t>non</t>
        </is>
      </c>
      <c r="N11" s="5" t="inlineStr">
        <is>
          <t>non</t>
        </is>
      </c>
      <c r="O11" s="5" t="inlineStr">
        <is>
          <t>non</t>
        </is>
      </c>
      <c r="P11" s="5" t="inlineStr">
        <is>
          <t>non</t>
        </is>
      </c>
      <c r="Q11" s="5" t="inlineStr">
        <is>
          <t>ecarter</t>
        </is>
      </c>
      <c r="R11" s="5" t="inlineStr">
        <is>
          <t>Sens ambigu : une durée moyenne plus courte peut traduire plus de temps libre comme plus de temps partiel subi, et les longues durées comme le sous-emploi sont mesurés par des fiches retenues, alors que le cadre Qualité de vie d'Eurostat lui donne le sens « bas ».</t>
        </is>
      </c>
      <c r="S11" s="5" t="inlineStr">
        <is>
          <t>ecarte</t>
        </is>
      </c>
      <c r="T11" s="7" t="inlineStr"/>
      <c r="U11" s="7" t="inlineStr"/>
    </row>
    <row r="12" ht="60" customHeight="1">
      <c r="A12" s="5" t="inlineStr">
        <is>
          <t>conditions et santé au travail</t>
        </is>
      </c>
      <c r="B12" s="5" t="inlineStr">
        <is>
          <t>horaires_atypiques</t>
        </is>
      </c>
      <c r="C12" s="6" t="inlineStr">
        <is>
          <t>horaires_atypiques</t>
        </is>
      </c>
      <c r="D12" s="5" t="inlineStr">
        <is>
          <t>Personnes en emploi travaillant à des horaires atypiques</t>
        </is>
      </c>
      <c r="E12" s="5" t="inlineStr">
        <is>
          <t>oui</t>
        </is>
      </c>
      <c r="F12" s="5" t="inlineStr">
        <is>
          <t>Part des personnes en emploi de 15 ans ou plus qui travaillent à des horaires atypiques au sens d'Eurostat (enquête sur les forces de travail) ; la liste des horaires comptés (soir, nuit, fin de semaine, travail posté) …</t>
        </is>
      </c>
      <c r="G12" s="5" t="inlineStr">
        <is>
          <t>bas</t>
        </is>
      </c>
      <c r="H12" s="5" t="inlineStr">
        <is>
          <t>% de l'emploi total</t>
        </is>
      </c>
      <c r="I12" s="5" t="inlineStr">
        <is>
          <t>Eurostat — lfsa_esegatyp (enquête sur les forces de travail)</t>
        </is>
      </c>
      <c r="J12" s="5" t="inlineStr">
        <is>
          <t>lfsa_esegatyp?freq=A&amp;eseg=TOTAL&amp;age=Y_GE15&amp;unit=PC&amp;geo=FR</t>
        </is>
      </c>
      <c r="K12" s="5" t="inlineStr">
        <is>
          <t>2011-2025 (13 points, annuelle)</t>
        </is>
      </c>
      <c r="L12" s="5" t="inlineStr">
        <is>
          <t>resultat</t>
        </is>
      </c>
      <c r="M12" s="5" t="inlineStr">
        <is>
          <t>non</t>
        </is>
      </c>
      <c r="N12" s="5" t="inlineStr">
        <is>
          <t>non</t>
        </is>
      </c>
      <c r="O12" s="5" t="inlineStr">
        <is>
          <t>non</t>
        </is>
      </c>
      <c r="P12" s="5" t="inlineStr">
        <is>
          <t>non</t>
        </is>
      </c>
      <c r="Q12" s="5" t="inlineStr">
        <is>
          <t>retenir</t>
        </is>
      </c>
      <c r="R12" s="5" t="inlineStr">
        <is>
          <t>Mesure d'ensemble des horaires atypiques maintenus dans la dimension par D27 et cités par le cadre Qualité de vie, série Eurostat 2011-2025 (13 points, enquête bisannuelle depuis 2021).</t>
        </is>
      </c>
      <c r="S12" s="5" t="inlineStr">
        <is>
          <t>retenu</t>
        </is>
      </c>
      <c r="T12" s="7" t="inlineStr"/>
      <c r="U12" s="7" t="inlineStr"/>
    </row>
    <row r="13" ht="60" customHeight="1">
      <c r="A13" s="5" t="inlineStr">
        <is>
          <t>conditions et santé au travail</t>
        </is>
      </c>
      <c r="B13" s="5" t="inlineStr">
        <is>
          <t>horaires_atypiques</t>
        </is>
      </c>
      <c r="C13" s="5" t="inlineStr">
        <is>
          <t>travail_dimanche</t>
        </is>
      </c>
      <c r="D13" s="5" t="inlineStr">
        <is>
          <t>Personnes en emploi travaillant habituellement le dimanche</t>
        </is>
      </c>
      <c r="E13" s="5" t="inlineStr">
        <is>
          <t>non</t>
        </is>
      </c>
      <c r="F13" s="5" t="inlineStr">
        <is>
          <t>Part des personnes en emploi de 15 ans ou plus qui travaillent habituellement le dimanche (Eurostat, enquête sur les forces de travail).</t>
        </is>
      </c>
      <c r="G13" s="5" t="inlineStr">
        <is>
          <t>bas</t>
        </is>
      </c>
      <c r="H13" s="5" t="inlineStr">
        <is>
          <t>% de l'emploi total</t>
        </is>
      </c>
      <c r="I13" s="5" t="inlineStr">
        <is>
          <t>Eurostat — lfsa_ewpsun (enquête sur les forces de travail)</t>
        </is>
      </c>
      <c r="J13" s="5" t="inlineStr">
        <is>
          <t>lfsa_ewpsun?freq=A&amp;unit=PC&amp;sex=T&amp;age=Y_GE15&amp;wstatus=EMP&amp;frequenc=USU&amp;geo=FR</t>
        </is>
      </c>
      <c r="K13" s="5" t="inlineStr">
        <is>
          <t>2000-2025 (24 points, annuelle)</t>
        </is>
      </c>
      <c r="L13" s="5" t="inlineStr">
        <is>
          <t>resultat</t>
        </is>
      </c>
      <c r="M13" s="5" t="inlineStr">
        <is>
          <t>non</t>
        </is>
      </c>
      <c r="N13" s="5" t="inlineStr">
        <is>
          <t>non</t>
        </is>
      </c>
      <c r="O13" s="5" t="inlineStr">
        <is>
          <t>non</t>
        </is>
      </c>
      <c r="P13" s="5" t="inlineStr">
        <is>
          <t>non</t>
        </is>
      </c>
      <c r="Q13" s="5" t="inlineStr">
        <is>
          <t>retenir_variante</t>
        </is>
      </c>
      <c r="R13" s="5" t="inlineStr">
        <is>
          <t>Composante des horaires atypiques suivie depuis plus longtemps que l'indicateur d'ensemble (2000-2025, 24 points), à lire avec la rupture de 2003.</t>
        </is>
      </c>
      <c r="S13" s="5" t="inlineStr">
        <is>
          <t>retenu</t>
        </is>
      </c>
      <c r="T13" s="7" t="inlineStr"/>
      <c r="U13" s="7" t="inlineStr"/>
    </row>
    <row r="14" ht="60" customHeight="1">
      <c r="A14" s="5" t="inlineStr">
        <is>
          <t>conditions et santé au travail</t>
        </is>
      </c>
      <c r="B14" s="5" t="inlineStr">
        <is>
          <t>longues_durees_travail</t>
        </is>
      </c>
      <c r="C14" s="6" t="inlineStr">
        <is>
          <t>longues_durees_travail</t>
        </is>
      </c>
      <c r="D14" s="5" t="inlineStr">
        <is>
          <t>Personnes en emploi travaillant de longues heures</t>
        </is>
      </c>
      <c r="E14" s="5" t="inlineStr">
        <is>
          <t>oui</t>
        </is>
      </c>
      <c r="F14" s="5" t="inlineStr">
        <is>
          <t>Part des personnes en emploi de 15 ans ou plus dont la durée habituelle de travail dans l'activité principale atteint 49 heures ou plus par semaine (« longues heures » du jeu Eurostat de qualité de l'emploi, enquête sur …</t>
        </is>
      </c>
      <c r="G14" s="5" t="inlineStr">
        <is>
          <t>bas</t>
        </is>
      </c>
      <c r="H14" s="5" t="inlineStr">
        <is>
          <t>% des personnes en emploi</t>
        </is>
      </c>
      <c r="I14" s="5" t="inlineStr">
        <is>
          <t>Eurostat — lfsa_qoe_3a2 (qualité de l'emploi, enquête sur les forces de travail)</t>
        </is>
      </c>
      <c r="J14" s="5" t="inlineStr">
        <is>
          <t>lfsa_qoe_3a2?freq=A&amp;unit=PC&amp;sex=T&amp;age=Y_GE15&amp;wstatus=EMP&amp;isco08=TOTAL&amp;geo=FR</t>
        </is>
      </c>
      <c r="K14" s="5" t="inlineStr">
        <is>
          <t>2000-2025 (26 points, annuelle)</t>
        </is>
      </c>
      <c r="L14" s="5" t="inlineStr">
        <is>
          <t>resultat</t>
        </is>
      </c>
      <c r="M14" s="5" t="inlineStr">
        <is>
          <t>non</t>
        </is>
      </c>
      <c r="N14" s="5" t="inlineStr">
        <is>
          <t>non</t>
        </is>
      </c>
      <c r="O14" s="5" t="inlineStr">
        <is>
          <t>oui</t>
        </is>
      </c>
      <c r="P14" s="5" t="inlineStr">
        <is>
          <t>oui</t>
        </is>
      </c>
      <c r="Q14" s="5" t="inlineStr">
        <is>
          <t>retenir</t>
        </is>
      </c>
      <c r="R14" s="5" t="inlineStr">
        <is>
          <t>Concept présent dans trois cadres (SSF, OCDE, Eurostat) et maintenu dans la dimension par D27, série Eurostat 2000-2025 (26 points) avec ruptures en 2003, 2014, 2021 et 2024.</t>
        </is>
      </c>
      <c r="S14" s="5" t="inlineStr">
        <is>
          <t>retenu_socle</t>
        </is>
      </c>
      <c r="T14" s="7" t="inlineStr"/>
      <c r="U14" s="7" t="inlineStr"/>
    </row>
    <row r="15" ht="60" customHeight="1">
      <c r="A15" s="5" t="inlineStr">
        <is>
          <t>conditions et santé au travail</t>
        </is>
      </c>
      <c r="B15" s="5" t="inlineStr">
        <is>
          <t>maladies_professionnelles</t>
        </is>
      </c>
      <c r="C15" s="6" t="inlineStr">
        <is>
          <t>maladies_professionnelles</t>
        </is>
      </c>
      <c r="D15" s="5" t="inlineStr">
        <is>
          <t>Maladies professionnelles reconnues (régime général)</t>
        </is>
      </c>
      <c r="E15" s="5" t="inlineStr">
        <is>
          <t>oui</t>
        </is>
      </c>
      <c r="F15" s="5" t="inlineStr">
        <is>
          <t>Nombre de maladies professionnelles reconnues dans l'année par le régime général de la Sécurité sociale (Assurance maladie, risques professionnels).</t>
        </is>
      </c>
      <c r="G15" s="5" t="inlineStr">
        <is>
          <t>ambigu</t>
        </is>
      </c>
      <c r="H15" s="5" t="inlineStr">
        <is>
          <t>nombre</t>
        </is>
      </c>
      <c r="I15" s="5" t="inlineStr">
        <is>
          <t>Assurance maladie (risques professionnels) — data.ameli.fr, sinistralité par secteur d'activité (NAF 1), tous secteurs</t>
        </is>
      </c>
      <c r="J15" s="5" t="inlineStr">
        <is>
          <t>https://data.ameli.fr/api/explore/v2.1/catalog/datasets/sinistralite-par-secteur-d-activite-concerne-naf-1 (Maladies professionnelles.TOUS.Tous secteurs confondus.Tous secteurs confondus#nb_sinistres_int)</t>
        </is>
      </c>
      <c r="K15" s="5" t="inlineStr">
        <is>
          <t>2005-2024 (20 points, annuelle)</t>
        </is>
      </c>
      <c r="L15" s="5" t="inlineStr">
        <is>
          <t>resultat</t>
        </is>
      </c>
      <c r="M15" s="5" t="inlineStr">
        <is>
          <t>non</t>
        </is>
      </c>
      <c r="N15" s="5" t="inlineStr">
        <is>
          <t>non</t>
        </is>
      </c>
      <c r="O15" s="5" t="inlineStr">
        <is>
          <t>non</t>
        </is>
      </c>
      <c r="P15" s="5" t="inlineStr">
        <is>
          <t>non</t>
        </is>
      </c>
      <c r="Q15" s="5" t="inlineStr">
        <is>
          <t>ecarter</t>
        </is>
      </c>
      <c r="R15" s="5" t="inlineStr">
        <is>
          <t>Sens ambigu : le nombre de maladies reconnues suit autant l'extension des tableaux et la démarche de reconnaissance que l'état de santé des travailleurs (M04).</t>
        </is>
      </c>
      <c r="S15" s="5" t="inlineStr">
        <is>
          <t>ecarte</t>
        </is>
      </c>
      <c r="T15" s="7" t="inlineStr"/>
      <c r="U15" s="7" t="inlineStr"/>
    </row>
    <row r="16" ht="60" customHeight="1">
      <c r="A16" s="5" t="inlineStr">
        <is>
          <t>conditions et santé au travail</t>
        </is>
      </c>
      <c r="B16" s="5" t="inlineStr">
        <is>
          <t>problemes_sante_travail</t>
        </is>
      </c>
      <c r="C16" s="6" t="inlineStr">
        <is>
          <t>problemes_sante_lies_travail</t>
        </is>
      </c>
      <c r="D16" s="5" t="inlineStr">
        <is>
          <t>Personnes déclarant un problème de santé causé ou aggravé par le travail</t>
        </is>
      </c>
      <c r="E16" s="5" t="inlineStr">
        <is>
          <t>oui</t>
        </is>
      </c>
      <c r="F16" s="5" t="inlineStr">
        <is>
          <t>Part des personnes de 15 à 64 ans en emploi ou l'ayant été qui déclarent avoir souffert d'au moins un problème de santé causé ou aggravé par le travail au cours des douze derniers mois, d'après le module ad hoc de …</t>
        </is>
      </c>
      <c r="G16" s="5" t="inlineStr">
        <is>
          <t>bas</t>
        </is>
      </c>
      <c r="H16" s="5" t="inlineStr">
        <is>
          <t>% des personnes en emploi ou l'ayant été</t>
        </is>
      </c>
      <c r="I16" s="5" t="inlineStr">
        <is>
          <t>Eurostat — hsw_pb1 (module ad hoc « accidents du travail et problèmes de santé liés au travail »), classe d'âge 15-64 ans</t>
        </is>
      </c>
      <c r="J16" s="5" t="inlineStr">
        <is>
          <t>hsw_pb1?freq=A&amp;sex=T&amp;age=Y15-34&amp;age=Y15-64&amp;age=Y35-54&amp;age=Y35-64&amp;age=Y55-64&amp;age=Y65-74&amp;isced11=TOTAL&amp;unit=PC_EMP_PREEMP&amp;geo=FR</t>
        </is>
      </c>
      <c r="K16" s="5" t="inlineStr">
        <is>
          <t>2007-2020 (3 points, irreguliere)</t>
        </is>
      </c>
      <c r="L16" s="5" t="inlineStr">
        <is>
          <t>resultat</t>
        </is>
      </c>
      <c r="M16" s="5" t="inlineStr">
        <is>
          <t>non</t>
        </is>
      </c>
      <c r="N16" s="5" t="inlineStr">
        <is>
          <t>non</t>
        </is>
      </c>
      <c r="O16" s="5" t="inlineStr">
        <is>
          <t>non</t>
        </is>
      </c>
      <c r="P16" s="5" t="inlineStr">
        <is>
          <t>non</t>
        </is>
      </c>
      <c r="Q16" s="5" t="inlineStr">
        <is>
          <t>retenir</t>
        </is>
      </c>
      <c r="R16" s="5" t="inlineStr">
        <is>
          <t>Seule mesure des atteintes à la santé causées par le travail hors accidents et maladies reconnus, citée par le cadre Qualité de vie, observée en 2007, 2013 et 2020 (D17), dont seules les vagues 2013 et 2020 sont comparables (audit M06 O1).</t>
        </is>
      </c>
      <c r="S16" s="5" t="inlineStr">
        <is>
          <t>retenu</t>
        </is>
      </c>
      <c r="T16" s="7" t="inlineStr"/>
      <c r="U16" s="7" t="inlineStr"/>
    </row>
    <row r="17" ht="60" customHeight="1">
      <c r="A17" s="5" t="inlineStr">
        <is>
          <t>conditions et santé au travail</t>
        </is>
      </c>
      <c r="B17" s="5" t="inlineStr">
        <is>
          <t>risques_physiques</t>
        </is>
      </c>
      <c r="C17" s="6" t="inlineStr">
        <is>
          <t>exposition_risques_sante_physique</t>
        </is>
      </c>
      <c r="D17" s="5" t="inlineStr">
        <is>
          <t>Personnes en emploi exposées à des risques pour la santé physique au travail</t>
        </is>
      </c>
      <c r="E17" s="5" t="inlineStr">
        <is>
          <t>oui</t>
        </is>
      </c>
      <c r="F17" s="5" t="inlineStr">
        <is>
          <t>Part des personnes en emploi de 15 à 64 ans qui déclarent être exposées au travail à au moins un facteur de risque pouvant nuire à leur santé physique (produits chimiques, poussières, fumées ou gaz ; bruit ou vibrations …</t>
        </is>
      </c>
      <c r="G17" s="5" t="inlineStr">
        <is>
          <t>bas</t>
        </is>
      </c>
      <c r="H17" s="5" t="inlineStr">
        <is>
          <t>% des personnes en emploi</t>
        </is>
      </c>
      <c r="I17" s="5" t="inlineStr">
        <is>
          <t>Eurostat — hsw_exp2 (module ad hoc « accidents du travail et problèmes de santé liés au travail »), classe d'âge 15-64 ans</t>
        </is>
      </c>
      <c r="J17" s="5" t="inlineStr">
        <is>
          <t>hsw_exp2?freq=A&amp;sex=T&amp;age=Y15-34&amp;age=Y15-64&amp;age=Y35-54&amp;age=Y35-64&amp;age=Y55-64&amp;age=Y65-74&amp;isced11=TOTAL&amp;unit=PC_EMP&amp;geo=FR</t>
        </is>
      </c>
      <c r="K17" s="5" t="inlineStr">
        <is>
          <t>2007-2020 (3 points, irreguliere)</t>
        </is>
      </c>
      <c r="L17" s="5" t="inlineStr">
        <is>
          <t>resultat</t>
        </is>
      </c>
      <c r="M17" s="5" t="inlineStr">
        <is>
          <t>non</t>
        </is>
      </c>
      <c r="N17" s="5" t="inlineStr">
        <is>
          <t>non</t>
        </is>
      </c>
      <c r="O17" s="5" t="inlineStr">
        <is>
          <t>non</t>
        </is>
      </c>
      <c r="P17" s="5" t="inlineStr">
        <is>
          <t>non</t>
        </is>
      </c>
      <c r="Q17" s="5" t="inlineStr">
        <is>
          <t>retenir</t>
        </is>
      </c>
      <c r="R17" s="5" t="inlineStr">
        <is>
          <t>Pendant physique des risques psychosociaux, cité par le cadre Qualité de vie et nommé dans le contenu de la dimension (expositions), observé en 2007, 2013 et 2020 (D17) avec la même qualité de données que exposition_risques_sante_mentale (audit M06 O1).</t>
        </is>
      </c>
      <c r="S17" s="5" t="inlineStr">
        <is>
          <t>retenu</t>
        </is>
      </c>
      <c r="T17" s="7" t="inlineStr"/>
      <c r="U17" s="7" t="inlineStr"/>
    </row>
    <row r="18" ht="60" customHeight="1">
      <c r="A18" s="5" t="inlineStr">
        <is>
          <t>conditions et santé au travail</t>
        </is>
      </c>
      <c r="B18" s="5" t="inlineStr">
        <is>
          <t>risques_psychosociaux</t>
        </is>
      </c>
      <c r="C18" s="6" t="inlineStr">
        <is>
          <t>exposition_risques_sante_mentale</t>
        </is>
      </c>
      <c r="D18" s="5" t="inlineStr">
        <is>
          <t>Personnes en emploi exposées à des risques pour la santé mentale au travail</t>
        </is>
      </c>
      <c r="E18" s="5" t="inlineStr">
        <is>
          <t>oui</t>
        </is>
      </c>
      <c r="F18" s="5" t="inlineStr">
        <is>
          <t>Part des personnes en emploi de 15 à 64 ans qui déclarent être exposées au travail à au moins un facteur de risque pouvant nuire à leur bien-être mental (pression des délais ou surcharge, harcèlement, violence…), …</t>
        </is>
      </c>
      <c r="G18" s="5" t="inlineStr">
        <is>
          <t>bas</t>
        </is>
      </c>
      <c r="H18" s="5" t="inlineStr">
        <is>
          <t>% des personnes en emploi</t>
        </is>
      </c>
      <c r="I18" s="5" t="inlineStr">
        <is>
          <t>Eurostat — hsw_exp1 (module ad hoc « accidents du travail et problèmes de santé liés au travail »), classe d'âge 15-64 ans</t>
        </is>
      </c>
      <c r="J18" s="5" t="inlineStr">
        <is>
          <t>hsw_exp1?freq=A&amp;sex=T&amp;age=Y15-34&amp;age=Y15-64&amp;age=Y35-54&amp;age=Y35-64&amp;age=Y55-64&amp;age=Y65-74&amp;isced11=TOTAL&amp;unit=PC_EMP&amp;geo=FR</t>
        </is>
      </c>
      <c r="K18" s="5" t="inlineStr">
        <is>
          <t>2007-2020 (3 points, irreguliere)</t>
        </is>
      </c>
      <c r="L18" s="5" t="inlineStr">
        <is>
          <t>resultat</t>
        </is>
      </c>
      <c r="M18" s="5" t="inlineStr">
        <is>
          <t>non</t>
        </is>
      </c>
      <c r="N18" s="5" t="inlineStr">
        <is>
          <t>non</t>
        </is>
      </c>
      <c r="O18" s="5" t="inlineStr">
        <is>
          <t>non</t>
        </is>
      </c>
      <c r="P18" s="5" t="inlineStr">
        <is>
          <t>non</t>
        </is>
      </c>
      <c r="Q18" s="5" t="inlineStr">
        <is>
          <t>retenir</t>
        </is>
      </c>
      <c r="R18" s="5" t="inlineStr">
        <is>
          <t>Seule mesure des risques psychosociaux au travail au catalogue, citée par le cadre Qualité de vie, observée en 2007, 2013 et 2020 (D17) avec des changements de définition entre chaque vague.</t>
        </is>
      </c>
      <c r="S18" s="5" t="inlineStr">
        <is>
          <t>retenu</t>
        </is>
      </c>
      <c r="T18" s="7" t="inlineStr"/>
      <c r="U18" s="7" t="inlineStr"/>
    </row>
    <row r="19" ht="60" customHeight="1">
      <c r="A19" s="5" t="inlineStr">
        <is>
          <t>conditions et santé au travail</t>
        </is>
      </c>
      <c r="B19" s="5" t="inlineStr">
        <is>
          <t>travail_nuit</t>
        </is>
      </c>
      <c r="C19" s="6" t="inlineStr">
        <is>
          <t>travail_nuit</t>
        </is>
      </c>
      <c r="D19" s="5" t="inlineStr">
        <is>
          <t>Personnes en emploi travaillant habituellement la nuit</t>
        </is>
      </c>
      <c r="E19" s="5" t="inlineStr">
        <is>
          <t>oui</t>
        </is>
      </c>
      <c r="F19" s="5" t="inlineStr">
        <is>
          <t>Part des personnes en emploi de 15 ans ou plus qui travaillent habituellement la nuit (Eurostat, enquête sur les forces de travail).</t>
        </is>
      </c>
      <c r="G19" s="5" t="inlineStr">
        <is>
          <t>bas</t>
        </is>
      </c>
      <c r="H19" s="5" t="inlineStr">
        <is>
          <t>% de l'emploi total</t>
        </is>
      </c>
      <c r="I19" s="5" t="inlineStr">
        <is>
          <t>Eurostat — lfsa_ewpnig (enquête sur les forces de travail)</t>
        </is>
      </c>
      <c r="J19" s="5" t="inlineStr">
        <is>
          <t>lfsa_ewpnig?freq=A&amp;unit=PC&amp;sex=T&amp;age=Y_GE15&amp;wstatus=EMP&amp;frequenc=USU&amp;geo=FR</t>
        </is>
      </c>
      <c r="K19" s="5" t="inlineStr">
        <is>
          <t>2000-2025 (24 points, annuelle)</t>
        </is>
      </c>
      <c r="L19" s="5" t="inlineStr">
        <is>
          <t>resultat</t>
        </is>
      </c>
      <c r="M19" s="5" t="inlineStr">
        <is>
          <t>non</t>
        </is>
      </c>
      <c r="N19" s="5" t="inlineStr">
        <is>
          <t>non</t>
        </is>
      </c>
      <c r="O19" s="5" t="inlineStr">
        <is>
          <t>non</t>
        </is>
      </c>
      <c r="P19" s="5" t="inlineStr">
        <is>
          <t>non</t>
        </is>
      </c>
      <c r="Q19" s="5" t="inlineStr">
        <is>
          <t>retenir</t>
        </is>
      </c>
      <c r="R19" s="5" t="inlineStr">
        <is>
          <t>Horaire atypique le plus lié à la santé, maintenu dans la dimension par D27, série Eurostat 2000-2025 (24 points), à condition de traiter la chute de 2013.</t>
        </is>
      </c>
      <c r="S19" s="5" t="inlineStr">
        <is>
          <t>retenu</t>
        </is>
      </c>
      <c r="T19" s="7" t="inlineStr"/>
      <c r="U19" s="7" t="inlineStr"/>
    </row>
    <row r="20" ht="60" customHeight="1">
      <c r="A20" s="5" t="inlineStr">
        <is>
          <t>emploi</t>
        </is>
      </c>
      <c r="B20" s="5" t="inlineStr">
        <is>
          <t>intensite_travail</t>
        </is>
      </c>
      <c r="C20" s="6" t="inlineStr">
        <is>
          <t>menages_tres_faible_intensite_travail</t>
        </is>
      </c>
      <c r="D20" s="5" t="inlineStr">
        <is>
          <t>Personnes vivant dans un ménage à très faible intensité de travail</t>
        </is>
      </c>
      <c r="E20" s="5" t="inlineStr">
        <is>
          <t>oui</t>
        </is>
      </c>
      <c r="F20" s="5" t="inlineStr">
        <is>
          <t>Part des personnes de moins de 60 ans vivant dans un ménage dont les membres en âge de travailler ont travaillé moins de 20 % de leur temps potentiel au cours de l'année de référence (EU-SILC, définition de la stratégie …</t>
        </is>
      </c>
      <c r="G20" s="5" t="inlineStr">
        <is>
          <t>bas</t>
        </is>
      </c>
      <c r="H20" s="5" t="inlineStr">
        <is>
          <t>% des personnes de moins de 60 ans</t>
        </is>
      </c>
      <c r="I20" s="5" t="inlineStr">
        <is>
          <t>Eurostat — ilc_lvhl11 (EU-SILC, enquête SRCV de l'INSEE pour la France)</t>
        </is>
      </c>
      <c r="J20" s="5" t="inlineStr">
        <is>
          <t>ilc_lvhl11?freq=A&amp;unit=PC&amp;age=Y_LT60&amp;sex=T&amp;geo=FR</t>
        </is>
      </c>
      <c r="K20" s="5" t="inlineStr">
        <is>
          <t>2004-2025 (22 points, annuelle)</t>
        </is>
      </c>
      <c r="L20" s="5" t="inlineStr">
        <is>
          <t>resultat</t>
        </is>
      </c>
      <c r="M20" s="5" t="inlineStr">
        <is>
          <t>non</t>
        </is>
      </c>
      <c r="N20" s="5" t="inlineStr">
        <is>
          <t>non</t>
        </is>
      </c>
      <c r="O20" s="5" t="inlineStr">
        <is>
          <t>non</t>
        </is>
      </c>
      <c r="P20" s="5" t="inlineStr">
        <is>
          <t>non</t>
        </is>
      </c>
      <c r="Q20" s="5" t="inlineStr">
        <is>
          <t>retenir</t>
        </is>
      </c>
      <c r="R20" s="5" t="inlineStr">
        <is>
          <t>Indicateur du cadre Qualité de vie d'Eurostat (activité productive), série annuelle 2004-2025 (22 points) qui mesure l'exclusion de l'emploi à l'échelle du ménage ; composante de niveau_de_vie/pauvrete_exclusion_arope, il ne se cumule pas au socle avec elle.</t>
        </is>
      </c>
      <c r="S20" s="5" t="inlineStr">
        <is>
          <t>retenu</t>
        </is>
      </c>
      <c r="T20" s="7" t="inlineStr"/>
      <c r="U20" s="7" t="inlineStr"/>
    </row>
    <row r="21" ht="60" customHeight="1">
      <c r="A21" s="5" t="inlineStr">
        <is>
          <t>emploi</t>
        </is>
      </c>
      <c r="B21" s="5" t="inlineStr">
        <is>
          <t>taux_activite</t>
        </is>
      </c>
      <c r="C21" s="6" t="inlineStr">
        <is>
          <t>taux_activite</t>
        </is>
      </c>
      <c r="D21" s="5" t="inlineStr">
        <is>
          <t>Taux d'activité des 15-64 ans</t>
        </is>
      </c>
      <c r="E21" s="5" t="inlineStr">
        <is>
          <t>oui</t>
        </is>
      </c>
      <c r="F21" s="5" t="inlineStr">
        <is>
          <t>Part des personnes de 15 à 64 ans actives au sens du BIT (en emploi ou au chômage), en moyenne annuelle (INSEE, enquête Emploi, séries longues rétropolées).</t>
        </is>
      </c>
      <c r="G21" s="5" t="inlineStr">
        <is>
          <t>ambigu</t>
        </is>
      </c>
      <c r="H21" s="5" t="inlineStr">
        <is>
          <t>% de la population de 15 à 64 ans</t>
        </is>
      </c>
      <c r="I21" s="5" t="inlineStr">
        <is>
          <t>INSEE — Melodi DD_EEC_SERIES (enquête Emploi, séries longues), mesure ACTRATE</t>
        </is>
      </c>
      <c r="J21" s="5" t="inlineStr">
        <is>
          <t>DD_EEC_SERIES?AGE=Y15T64&amp;COMPOHALO=_T&amp;EDUC=_T&amp;EEC_MEASURE=ACTRATE&amp;EMPFORM=_T&amp;EMPSTA=1T2&amp;PCS=_T&amp;SEX=_T&amp;UNDEREMP=_T&amp;UNEMPDUR=_T&amp;UNIT_MEASURE=PT&amp;WKTIME=_T</t>
        </is>
      </c>
      <c r="K21" s="5" t="inlineStr">
        <is>
          <t>1975-2025 (26 points, annuelle)</t>
        </is>
      </c>
      <c r="L21" s="5" t="inlineStr">
        <is>
          <t>resultat</t>
        </is>
      </c>
      <c r="M21" s="5" t="inlineStr">
        <is>
          <t>non</t>
        </is>
      </c>
      <c r="N21" s="5" t="inlineStr">
        <is>
          <t>non</t>
        </is>
      </c>
      <c r="O21" s="5" t="inlineStr">
        <is>
          <t>non</t>
        </is>
      </c>
      <c r="P21" s="5" t="inlineStr">
        <is>
          <t>non</t>
        </is>
      </c>
      <c r="Q21" s="5" t="inlineStr">
        <is>
          <t>ecarter</t>
        </is>
      </c>
      <c r="R21" s="5" t="inlineStr">
        <is>
          <t>Sens ambigu : une hausse du taux d'activité peut traduire un raccourcissement des études ou un recul de l'âge de la retraite autant qu'une meilleure insertion, alors que le taux d'emploi et le taux de chômage portent déjà l'accès à l'emploi.</t>
        </is>
      </c>
      <c r="S21" s="5" t="inlineStr">
        <is>
          <t>ecarte</t>
        </is>
      </c>
      <c r="T21" s="7" t="inlineStr"/>
      <c r="U21" s="7" t="inlineStr"/>
    </row>
    <row r="22" ht="60" customHeight="1">
      <c r="A22" s="5" t="inlineStr">
        <is>
          <t>emploi</t>
        </is>
      </c>
      <c r="B22" s="5" t="inlineStr">
        <is>
          <t>taux_emploi</t>
        </is>
      </c>
      <c r="C22" s="6" t="inlineStr">
        <is>
          <t>taux_emploi</t>
        </is>
      </c>
      <c r="D22" s="5" t="inlineStr">
        <is>
          <t>Taux d'emploi des 15-64 ans</t>
        </is>
      </c>
      <c r="E22" s="5" t="inlineStr">
        <is>
          <t>oui</t>
        </is>
      </c>
      <c r="F22" s="5" t="inlineStr">
        <is>
          <t>Part des personnes de 15 à 64 ans qui ont un emploi au sens du Bureau international du travail (avoir travaillé au moins une heure pendant la semaine de référence), en moyenne annuelle, d'après l'enquête Emploi de …</t>
        </is>
      </c>
      <c r="G22" s="5" t="inlineStr">
        <is>
          <t>haut</t>
        </is>
      </c>
      <c r="H22" s="5" t="inlineStr">
        <is>
          <t>% de la population de 15 à 64 ans</t>
        </is>
      </c>
      <c r="I22" s="5" t="inlineStr">
        <is>
          <t>INSEE — Melodi DD_EEC_SERIES (enquête Emploi, séries longues), mesure EMPRATE</t>
        </is>
      </c>
      <c r="J22" s="5" t="inlineStr">
        <is>
          <t>DD_EEC_SERIES?AGE=Y15T64&amp;COMPOHALO=_T&amp;EDUC=_T&amp;EEC_MEASURE=EMPRATE&amp;EMPFORM=_T&amp;EMPSTA=1&amp;PCS=_T&amp;SEX=_T&amp;UNDEREMP=_T&amp;UNEMPDUR=_T&amp;UNIT_MEASURE=PT&amp;WKTIME=_T</t>
        </is>
      </c>
      <c r="K22" s="5" t="inlineStr">
        <is>
          <t>1975-2025 (26 points, annuelle)</t>
        </is>
      </c>
      <c r="L22" s="5" t="inlineStr">
        <is>
          <t>resultat</t>
        </is>
      </c>
      <c r="M22" s="5" t="inlineStr">
        <is>
          <t>non</t>
        </is>
      </c>
      <c r="N22" s="5" t="inlineStr">
        <is>
          <t>non</t>
        </is>
      </c>
      <c r="O22" s="5" t="inlineStr">
        <is>
          <t>oui</t>
        </is>
      </c>
      <c r="P22" s="5" t="inlineStr">
        <is>
          <t>oui</t>
        </is>
      </c>
      <c r="Q22" s="5" t="inlineStr">
        <is>
          <t>retenir</t>
        </is>
      </c>
      <c r="R22" s="5" t="inlineStr">
        <is>
          <t>Concept présent dans trois cadres (OCDE, Eurostat, INSEE) et indicateur de richesse nationale n° 1, publié par l'INSEE en série rétropolée de 1975 à 2025 (26 points depuis 2000), plus long et plus homogène que les séries Eurostat marquées « définition différente » depuis 2021.</t>
        </is>
      </c>
      <c r="S22" s="5" t="inlineStr">
        <is>
          <t>retenu_socle</t>
        </is>
      </c>
      <c r="T22" s="7" t="inlineStr"/>
      <c r="U22" s="7" t="inlineStr"/>
    </row>
    <row r="23" ht="60" customHeight="1">
      <c r="A23" s="5" t="inlineStr">
        <is>
          <t>emploi</t>
        </is>
      </c>
      <c r="B23" s="5" t="inlineStr">
        <is>
          <t>taux_emploi</t>
        </is>
      </c>
      <c r="C23" s="5" t="inlineStr">
        <is>
          <t>taux_emploi_20_64</t>
        </is>
      </c>
      <c r="D23" s="5" t="inlineStr">
        <is>
          <t>Taux d'emploi des 20-64 ans (cible 2030)</t>
        </is>
      </c>
      <c r="E23" s="5" t="inlineStr">
        <is>
          <t>non</t>
        </is>
      </c>
      <c r="F23" s="5" t="inlineStr">
        <is>
          <t>Part des personnes de 20 à 64 ans en emploi au sens du BIT, d'après l'enquête européenne sur les forces de travail (Eurostat, jeu lfsi_emp_a ; l'indicateur ODD sdg_08_30 en reprend les valeurs depuis 2009).</t>
        </is>
      </c>
      <c r="G23" s="5" t="inlineStr">
        <is>
          <t>haut</t>
        </is>
      </c>
      <c r="H23" s="5" t="inlineStr">
        <is>
          <t>% de la population de 20 à 64 ans</t>
        </is>
      </c>
      <c r="I23" s="5" t="inlineStr">
        <is>
          <t>Eurostat — lfsi_emp_a (emploi et forces de travail par sexe et âge, enquête sur les forces de travail), classe d'âge 20-64 ans</t>
        </is>
      </c>
      <c r="J23" s="5" t="inlineStr">
        <is>
          <t>lfsi_emp_a?freq=A&amp;indic_em=EMP_LFS&amp;sex=T&amp;age=Y15-24&amp;age=Y15-29&amp;age=Y20-64&amp;age=Y25-54&amp;age=Y55-64&amp;unit=PC_POP&amp;geo=FR</t>
        </is>
      </c>
      <c r="K23" s="5" t="inlineStr">
        <is>
          <t>2003-2025 (23 points, annuelle)</t>
        </is>
      </c>
      <c r="L23" s="5" t="inlineStr">
        <is>
          <t>resultat</t>
        </is>
      </c>
      <c r="M23" s="5" t="inlineStr">
        <is>
          <t>non</t>
        </is>
      </c>
      <c r="N23" s="5" t="inlineStr">
        <is>
          <t>non</t>
        </is>
      </c>
      <c r="O23" s="5" t="inlineStr">
        <is>
          <t>non</t>
        </is>
      </c>
      <c r="P23" s="5" t="inlineStr">
        <is>
          <t>non</t>
        </is>
      </c>
      <c r="Q23" s="5" t="inlineStr">
        <is>
          <t>retenir_variante</t>
        </is>
      </c>
      <c r="R23" s="5" t="inlineStr">
        <is>
          <t>Même concept que la principale sur la classe d'âge de la cible française et européenne de 78 % en 2030, série Eurostat lfsi_emp_a de 2003 à 2025 (23 points), que l'indicateur ODD sdg_08_30 reprend à l'identique depuis 2009.</t>
        </is>
      </c>
      <c r="S23" s="5" t="inlineStr">
        <is>
          <t>retenu</t>
        </is>
      </c>
      <c r="T23" s="7" t="inlineStr"/>
      <c r="U23" s="7" t="inlineStr"/>
    </row>
    <row r="24" ht="60" customHeight="1">
      <c r="A24" s="5" t="inlineStr">
        <is>
          <t>emploi</t>
        </is>
      </c>
      <c r="B24" s="5" t="inlineStr">
        <is>
          <t>taux_emploi</t>
        </is>
      </c>
      <c r="C24" s="5" t="inlineStr">
        <is>
          <t>taux_emploi_eqtp</t>
        </is>
      </c>
      <c r="D24" s="5" t="inlineStr">
        <is>
          <t>Taux d'emploi en équivalent temps plein des 15-64 ans</t>
        </is>
      </c>
      <c r="E24" s="5" t="inlineStr">
        <is>
          <t>non</t>
        </is>
      </c>
      <c r="F24" s="5" t="inlineStr">
        <is>
          <t>Taux d'emploi des 15-64 ans dans lequel chaque emploi est pondéré par sa durée de travail rapportée à un temps plein (INSEE, enquête Emploi, série trimestrielle corrigée des variations saisonnières, champ France …</t>
        </is>
      </c>
      <c r="G24" s="5" t="inlineStr">
        <is>
          <t>haut</t>
        </is>
      </c>
      <c r="H24" s="5" t="inlineStr">
        <is>
          <t>% de la population de 15 à 64 ans (en équivalent temps plein)</t>
        </is>
      </c>
      <c r="I24" s="5" t="inlineStr">
        <is>
          <t>INSEE — BDM, enquête Emploi trimestrielle (taux d'emploi en EQTP)</t>
        </is>
      </c>
      <c r="J24" s="5" t="inlineStr">
        <is>
          <t>011818669</t>
        </is>
      </c>
      <c r="K24" s="5" t="inlineStr">
        <is>
          <t>2003-2026 (trimestrielle)</t>
        </is>
      </c>
      <c r="L24" s="5" t="inlineStr">
        <is>
          <t>resultat</t>
        </is>
      </c>
      <c r="M24" s="5" t="inlineStr">
        <is>
          <t>non</t>
        </is>
      </c>
      <c r="N24" s="5" t="inlineStr">
        <is>
          <t>non</t>
        </is>
      </c>
      <c r="O24" s="5" t="inlineStr">
        <is>
          <t>non</t>
        </is>
      </c>
      <c r="P24" s="5" t="inlineStr">
        <is>
          <t>non</t>
        </is>
      </c>
      <c r="Q24" s="5" t="inlineStr">
        <is>
          <t>retenir_variante</t>
        </is>
      </c>
      <c r="R24" s="5" t="inlineStr">
        <is>
          <t>Lecture du taux d'emploi corrigée du temps partiel, sans série annuelle de même définition, disponible en trimestriel de 2003 à 2026 (agrégation annuelle à prévoir).</t>
        </is>
      </c>
      <c r="S24" s="5" t="inlineStr">
        <is>
          <t>retenu</t>
        </is>
      </c>
      <c r="T24" s="7" t="inlineStr"/>
      <c r="U24" s="7" t="inlineStr"/>
    </row>
    <row r="25" ht="60" customHeight="1">
      <c r="A25" s="5" t="inlineStr">
        <is>
          <t>qualité et sécurité de l'emploi</t>
        </is>
      </c>
      <c r="B25" s="5" t="inlineStr">
        <is>
          <t>emploi_temporaire</t>
        </is>
      </c>
      <c r="C25" s="6" t="inlineStr">
        <is>
          <t>part_emploi_temporaire</t>
        </is>
      </c>
      <c r="D25" s="5" t="inlineStr">
        <is>
          <t>Part des CDD et de l'intérim dans l'emploi</t>
        </is>
      </c>
      <c r="E25" s="5" t="inlineStr">
        <is>
          <t>oui</t>
        </is>
      </c>
      <c r="F25" s="5" t="inlineStr">
        <is>
          <t>Part des personnes en emploi en contrat à durée déterminée ou en intérim, en moyenne annuelle (INSEE, enquête Emploi, séries longues rétropolées) ; somme des parts des CDD et de l'intérim.</t>
        </is>
      </c>
      <c r="G25" s="5" t="inlineStr">
        <is>
          <t>bas</t>
        </is>
      </c>
      <c r="H25" s="5" t="inlineStr">
        <is>
          <t>% des personnes en emploi</t>
        </is>
      </c>
      <c r="I25" s="5" t="inlineStr">
        <is>
          <t>INSEE — Melodi DD_EEC_SERIES (enquête Emploi, séries longues), mesure PT_EMPFORM_IN_EMP_BY_SEX_AGE</t>
        </is>
      </c>
      <c r="J25" s="5" t="inlineStr">
        <is>
          <t>DD_EEC_SERIES : PT_EMPFORM_IN_EMP_BY_SEX_AGE, EMPFORM=22 (CDD) + EMPFORM=26 (intérim), AGE=_T, SEX=_T</t>
        </is>
      </c>
      <c r="K25" s="5" t="inlineStr">
        <is>
          <t>1982-2025 (26 points, annuelle)</t>
        </is>
      </c>
      <c r="L25" s="5" t="inlineStr">
        <is>
          <t>resultat</t>
        </is>
      </c>
      <c r="M25" s="5" t="inlineStr">
        <is>
          <t>non</t>
        </is>
      </c>
      <c r="N25" s="5" t="inlineStr">
        <is>
          <t>non</t>
        </is>
      </c>
      <c r="O25" s="5" t="inlineStr">
        <is>
          <t>non</t>
        </is>
      </c>
      <c r="P25" s="5" t="inlineStr">
        <is>
          <t>non</t>
        </is>
      </c>
      <c r="Q25" s="5" t="inlineStr">
        <is>
          <t>retenir</t>
        </is>
      </c>
      <c r="R25" s="5" t="inlineStr">
        <is>
          <t>Mesure des contrats courts nommés dans le contenu de la dimension (A15), somme de deux séries annuelles INSEE rétropolées (1982-2025) recoupée avec les parts publiées par l'INSEE (11,0 % en 2017, 10,3 % en 2022, 9,5 % en 2024), plus homogène que la série européenne marquée « définition différente » depuis 2021.</t>
        </is>
      </c>
      <c r="S25" s="5" t="inlineStr">
        <is>
          <t>retenu</t>
        </is>
      </c>
      <c r="T25" s="7" t="inlineStr"/>
      <c r="U25" s="7" t="inlineStr"/>
    </row>
    <row r="26" ht="60" customHeight="1">
      <c r="A26" s="5" t="inlineStr">
        <is>
          <t>qualité et sécurité de l'emploi</t>
        </is>
      </c>
      <c r="B26" s="5" t="inlineStr">
        <is>
          <t>emploi_temporaire</t>
        </is>
      </c>
      <c r="C26" s="5" t="inlineStr">
        <is>
          <t>contrats_tres_courts</t>
        </is>
      </c>
      <c r="D26" s="5" t="inlineStr">
        <is>
          <t>Emploi précaire (contrats très courts) au sens d'Eurostat</t>
        </is>
      </c>
      <c r="E26" s="5" t="inlineStr">
        <is>
          <t>non</t>
        </is>
      </c>
      <c r="F26" s="5" t="inlineStr">
        <is>
          <t>Part des salariés de 15 ans ou plus dont le contrat de travail ne dépasse pas trois mois (« emploi précaire » du jeu Eurostat de qualité de l'emploi, enquête sur les forces de travail), toutes branches.</t>
        </is>
      </c>
      <c r="G26" s="5" t="inlineStr">
        <is>
          <t>bas</t>
        </is>
      </c>
      <c r="H26" s="5" t="inlineStr">
        <is>
          <t>% des salariés</t>
        </is>
      </c>
      <c r="I26" s="5" t="inlineStr">
        <is>
          <t>Eurostat — lfsa_qoe_4ax1r2 (qualité de l'emploi, enquête sur les forces de travail)</t>
        </is>
      </c>
      <c r="J26" s="5" t="inlineStr">
        <is>
          <t>lfsa_qoe_4ax1r2?freq=A&amp;unit=PC&amp;sex=T&amp;age=Y_GE15&amp;nace_r2=TOTAL&amp;geo=FR</t>
        </is>
      </c>
      <c r="K26" s="5" t="inlineStr">
        <is>
          <t>2008-2025 (18 points, annuelle)</t>
        </is>
      </c>
      <c r="L26" s="5" t="inlineStr">
        <is>
          <t>resultat</t>
        </is>
      </c>
      <c r="M26" s="5" t="inlineStr">
        <is>
          <t>non</t>
        </is>
      </c>
      <c r="N26" s="5" t="inlineStr">
        <is>
          <t>non</t>
        </is>
      </c>
      <c r="O26" s="5" t="inlineStr">
        <is>
          <t>non</t>
        </is>
      </c>
      <c r="P26" s="5" t="inlineStr">
        <is>
          <t>non</t>
        </is>
      </c>
      <c r="Q26" s="5" t="inlineStr">
        <is>
          <t>retenir_variante</t>
        </is>
      </c>
      <c r="R26" s="5" t="inlineStr">
        <is>
          <t>Seule mesure des contrats très courts (trois mois au plus) nommés dans le contenu de la dimension, série Eurostat 2008-2025 (18 points) marquée « définition différente » depuis 2021.</t>
        </is>
      </c>
      <c r="S26" s="5" t="inlineStr">
        <is>
          <t>retenu</t>
        </is>
      </c>
      <c r="T26" s="7" t="inlineStr"/>
      <c r="U26" s="7" t="inlineStr"/>
    </row>
    <row r="27" ht="60" customHeight="1">
      <c r="A27" s="5" t="inlineStr">
        <is>
          <t>qualité et sécurité de l'emploi</t>
        </is>
      </c>
      <c r="B27" s="5" t="inlineStr">
        <is>
          <t>emploi_temporaire</t>
        </is>
      </c>
      <c r="C27" s="5" t="inlineStr">
        <is>
          <t>emploi_temporaire_subi</t>
        </is>
      </c>
      <c r="D27" s="5" t="inlineStr">
        <is>
          <t>Salariés en emploi temporaire faute d'emploi permanent</t>
        </is>
      </c>
      <c r="E27" s="5" t="inlineStr">
        <is>
          <t>non</t>
        </is>
      </c>
      <c r="F27" s="5" t="inlineStr">
        <is>
          <t>Part, parmi l'ensemble des salariés de 15 ans ou plus, de ceux qui occupent un emploi temporaire faute d'avoir trouvé un emploi permanent (Eurostat, enquête sur les forces de travail).</t>
        </is>
      </c>
      <c r="G27" s="5" t="inlineStr">
        <is>
          <t>bas</t>
        </is>
      </c>
      <c r="H27" s="5" t="inlineStr">
        <is>
          <t>% de l'ensemble des salariés</t>
        </is>
      </c>
      <c r="I27" s="5" t="inlineStr">
        <is>
          <t>Eurostat — lfsa_eetpgar (enquête sur les forces de travail)</t>
        </is>
      </c>
      <c r="J27" s="5" t="inlineStr">
        <is>
          <t>lfsa_eetpgar?freq=A&amp;reason=NF_PJOB&amp;sex=T&amp;age=Y_GE15&amp;unit=PC_SAL&amp;geo=FR</t>
        </is>
      </c>
      <c r="K27" s="5" t="inlineStr">
        <is>
          <t>2003-2025 (23 points, annuelle)</t>
        </is>
      </c>
      <c r="L27" s="5" t="inlineStr">
        <is>
          <t>resultat</t>
        </is>
      </c>
      <c r="M27" s="5" t="inlineStr">
        <is>
          <t>non</t>
        </is>
      </c>
      <c r="N27" s="5" t="inlineStr">
        <is>
          <t>non</t>
        </is>
      </c>
      <c r="O27" s="5" t="inlineStr">
        <is>
          <t>non</t>
        </is>
      </c>
      <c r="P27" s="5" t="inlineStr">
        <is>
          <t>non</t>
        </is>
      </c>
      <c r="Q27" s="5" t="inlineStr">
        <is>
          <t>retenir_variante</t>
        </is>
      </c>
      <c r="R27" s="5" t="inlineStr">
        <is>
          <t>Indicateur des contrats temporaires subis (cadre Qualité de vie), série 2003-2025 (23 points) rompue en 2021 (7,3 % en 2020, 5,8 % en 2021) puis en baisse jusqu'à 3,6 % en 2025, à lire avec la part des CDD et de l'intérim.</t>
        </is>
      </c>
      <c r="S27" s="5" t="inlineStr">
        <is>
          <t>retenu</t>
        </is>
      </c>
      <c r="T27" s="7" t="inlineStr"/>
      <c r="U27" s="7" t="inlineStr"/>
    </row>
    <row r="28" ht="60" customHeight="1">
      <c r="A28" s="5" t="inlineStr">
        <is>
          <t>qualité et sécurité de l'emploi</t>
        </is>
      </c>
      <c r="B28" s="5" t="inlineStr">
        <is>
          <t>insecurite_emploi_percue</t>
        </is>
      </c>
      <c r="C28" s="6" t="inlineStr">
        <is>
          <t>risque_chomage_percu</t>
        </is>
      </c>
      <c r="D28" s="5" t="inlineStr">
        <is>
          <t>Personnes voyant un risque de chômage pour elles ou un proche (baromètre DREES)</t>
        </is>
      </c>
      <c r="E28" s="5" t="inlineStr">
        <is>
          <t>oui</t>
        </is>
      </c>
      <c r="F28" s="5" t="inlineStr">
        <is>
          <t>Part des personnes interrogées par le baromètre d'opinion de la DREES qui répondent « oui » à la question SDRICHOM (« Y a-t-il un risque de chômage dans les mois à venir pour vous-même ou l'un de vos proches ? »), parmi …</t>
        </is>
      </c>
      <c r="G28" s="5" t="inlineStr">
        <is>
          <t>bas</t>
        </is>
      </c>
      <c r="H28" s="5" t="inlineStr">
        <is>
          <t>% des répondants</t>
        </is>
      </c>
      <c r="I28" s="5" t="inlineStr">
        <is>
          <t>DREES (baromètre d'opinion) — Baromètre d'opinion de la DREES (data.drees, jeu 431_le-barometre-d-opinion), microdonnées pondérées</t>
        </is>
      </c>
      <c r="J28" s="5" t="inlineStr">
        <is>
          <t>data.drees.solidarites-sante.gouv.fr, jeu 431_le-barometre-d-opinion, pièce jointe barometre2000_2025_diff_csv ; variable SDRICHOM, modalité 1</t>
        </is>
      </c>
      <c r="K28" s="5" t="inlineStr">
        <is>
          <t>2010-2025 (16 points, annuelle)</t>
        </is>
      </c>
      <c r="L28" s="5" t="inlineStr">
        <is>
          <t>resultat</t>
        </is>
      </c>
      <c r="M28" s="5" t="inlineStr">
        <is>
          <t>oui</t>
        </is>
      </c>
      <c r="N28" s="5" t="inlineStr">
        <is>
          <t>non</t>
        </is>
      </c>
      <c r="O28" s="5" t="inlineStr">
        <is>
          <t>non</t>
        </is>
      </c>
      <c r="P28" s="5" t="inlineStr">
        <is>
          <t>non</t>
        </is>
      </c>
      <c r="Q28" s="5" t="inlineStr">
        <is>
          <t>retenir</t>
        </is>
      </c>
      <c r="R28" s="5" t="inlineStr">
        <is>
          <t>Mesure personnelle de l'insécurité de l'emploi (risque de chômage pour soi ou un proche), posée chaque année de 2010 à 2025 (16 points), calculée sur les microdonnées du baromètre DREES et plausible au regard des parts publiées par la DREES (45 % en 2013, 42 % en 2014).</t>
        </is>
      </c>
      <c r="S28" s="5" t="inlineStr">
        <is>
          <t>retenu</t>
        </is>
      </c>
      <c r="T28" s="7" t="inlineStr"/>
      <c r="U28" s="7" t="inlineStr"/>
    </row>
    <row r="29" ht="60" customHeight="1">
      <c r="A29" s="5" t="inlineStr">
        <is>
          <t>qualité et sécurité de l'emploi</t>
        </is>
      </c>
      <c r="B29" s="5" t="inlineStr">
        <is>
          <t>passages_emploi_chomage</t>
        </is>
      </c>
      <c r="C29" s="6" t="inlineStr">
        <is>
          <t>passages_emploi_chomage</t>
        </is>
      </c>
      <c r="D29" s="5" t="inlineStr">
        <is>
          <t>Passages de l'emploi au chômage</t>
        </is>
      </c>
      <c r="E29" s="5" t="inlineStr">
        <is>
          <t>oui</t>
        </is>
      </c>
      <c r="F29" s="5" t="inlineStr">
        <is>
          <t>Part des personnes en emploi une année qui sont au chômage l'année suivante (Eurostat, transitions sur le marché du travail estimées sur l'enquête sur les forces de travail).</t>
        </is>
      </c>
      <c r="G29" s="5" t="inlineStr">
        <is>
          <t>bas</t>
        </is>
      </c>
      <c r="H29" s="5" t="inlineStr">
        <is>
          <t>% des personnes en emploi</t>
        </is>
      </c>
      <c r="I29" s="5" t="inlineStr">
        <is>
          <t>Eurostat — lfsi_long_a (transitions sur le marché du travail, résultats annuels)</t>
        </is>
      </c>
      <c r="J29" s="5" t="inlineStr">
        <is>
          <t>lfsi_long_a?freq=A&amp;unit=PC_EMP&amp;wstatus=EMP_UNE&amp;sex=T&amp;geo=FR</t>
        </is>
      </c>
      <c r="K29" s="5" t="inlineStr">
        <is>
          <t>2011-2025 (14 points, annuelle)</t>
        </is>
      </c>
      <c r="L29" s="5" t="inlineStr">
        <is>
          <t>resultat</t>
        </is>
      </c>
      <c r="M29" s="5" t="inlineStr">
        <is>
          <t>non</t>
        </is>
      </c>
      <c r="N29" s="5" t="inlineStr">
        <is>
          <t>non</t>
        </is>
      </c>
      <c r="O29" s="5" t="inlineStr">
        <is>
          <t>non</t>
        </is>
      </c>
      <c r="P29" s="5" t="inlineStr">
        <is>
          <t>non</t>
        </is>
      </c>
      <c r="Q29" s="5" t="inlineStr">
        <is>
          <t>retenir</t>
        </is>
      </c>
      <c r="R29" s="5" t="inlineStr">
        <is>
          <t>Mesure des passages au chômage nommés dans le contenu de la dimension (A15) et retenue par le cadre Qualité de vie (sécurité), série 2011-2025 (14 points, pas de valeur en 2021).</t>
        </is>
      </c>
      <c r="S29" s="5" t="inlineStr">
        <is>
          <t>retenu</t>
        </is>
      </c>
      <c r="T29" s="7" t="inlineStr"/>
      <c r="U29" s="7" t="inlineStr"/>
    </row>
    <row r="30" ht="60" customHeight="1">
      <c r="A30" s="5" t="inlineStr">
        <is>
          <t>qualité et sécurité de l'emploi</t>
        </is>
      </c>
      <c r="B30" s="5" t="inlineStr">
        <is>
          <t>preoccupation_chomage</t>
        </is>
      </c>
      <c r="C30" s="6" t="inlineStr">
        <is>
          <t>preoccupation_chomage</t>
        </is>
      </c>
      <c r="D30" s="5" t="inlineStr">
        <is>
          <t>Personnes préoccupées par le chômage (baromètre DREES)</t>
        </is>
      </c>
      <c r="E30" s="5" t="inlineStr">
        <is>
          <t>oui</t>
        </is>
      </c>
      <c r="F30" s="5" t="inlineStr">
        <is>
          <t>Part des personnes interrogées par le baromètre d'opinion de la DREES qui se disent « beaucoup » ou « assez » préoccupées par le chômage (question OG04_6 : « Êtes-vous personnellement préoccupé(e) par… le chômage ? »), …</t>
        </is>
      </c>
      <c r="G30" s="5" t="inlineStr">
        <is>
          <t>bas</t>
        </is>
      </c>
      <c r="H30" s="5" t="inlineStr">
        <is>
          <t>% des répondants</t>
        </is>
      </c>
      <c r="I30" s="5" t="inlineStr">
        <is>
          <t>DREES (baromètre d'opinion) — Baromètre d'opinion de la DREES (data.drees, jeu 431_le-barometre-d-opinion), microdonnées pondérées</t>
        </is>
      </c>
      <c r="J30" s="5" t="inlineStr">
        <is>
          <t>data.drees.solidarites-sante.gouv.fr, jeu 431_le-barometre-d-opinion, pièce jointe barometre2000_2025_diff_csv ; variable OG04_6, modalités 1+2</t>
        </is>
      </c>
      <c r="K30" s="5" t="inlineStr">
        <is>
          <t>2000-2025 (25 points, annuelle)</t>
        </is>
      </c>
      <c r="L30" s="5" t="inlineStr">
        <is>
          <t>resultat</t>
        </is>
      </c>
      <c r="M30" s="5" t="inlineStr">
        <is>
          <t>oui</t>
        </is>
      </c>
      <c r="N30" s="5" t="inlineStr">
        <is>
          <t>non</t>
        </is>
      </c>
      <c r="O30" s="5" t="inlineStr">
        <is>
          <t>non</t>
        </is>
      </c>
      <c r="P30" s="5" t="inlineStr">
        <is>
          <t>non</t>
        </is>
      </c>
      <c r="Q30" s="5" t="inlineStr">
        <is>
          <t>retenir</t>
        </is>
      </c>
      <c r="R30" s="5" t="inlineStr">
        <is>
          <t>Opinion sur la société (D32) posée chaque année depuis 2000 (25 années), en baisse de 90,7 % en 2000 à 63,5 % en 2025, calculée sur les microdonnées du baromètre DREES et plausible au regard des parts publiées par la DREES (88 % en 2014, 81 % en 2017).</t>
        </is>
      </c>
      <c r="S30" s="5" t="inlineStr">
        <is>
          <t>retenu</t>
        </is>
      </c>
      <c r="T30" s="7" t="inlineStr"/>
      <c r="U30" s="7" t="inlineStr"/>
    </row>
    <row r="31" ht="60" customHeight="1">
      <c r="A31" s="5" t="inlineStr">
        <is>
          <t>qualité et sécurité de l'emploi</t>
        </is>
      </c>
      <c r="B31" s="5" t="inlineStr">
        <is>
          <t>sorties_chomage_emploi</t>
        </is>
      </c>
      <c r="C31" s="6" t="inlineStr">
        <is>
          <t>sorties_chomage_emploi</t>
        </is>
      </c>
      <c r="D31" s="5" t="inlineStr">
        <is>
          <t>Passages du chômage à l'emploi</t>
        </is>
      </c>
      <c r="E31" s="5" t="inlineStr">
        <is>
          <t>oui</t>
        </is>
      </c>
      <c r="F31" s="5" t="inlineStr">
        <is>
          <t>Part des chômeurs une année qui sont en emploi l'année suivante (Eurostat, transitions sur le marché du travail estimées sur l'enquête sur les forces de travail).</t>
        </is>
      </c>
      <c r="G31" s="5" t="inlineStr">
        <is>
          <t>haut</t>
        </is>
      </c>
      <c r="H31" s="5" t="inlineStr">
        <is>
          <t>% des chômeurs</t>
        </is>
      </c>
      <c r="I31" s="5" t="inlineStr">
        <is>
          <t>Eurostat — lfsi_long_a (transitions sur le marché du travail, résultats annuels)</t>
        </is>
      </c>
      <c r="J31" s="5" t="inlineStr">
        <is>
          <t>lfsi_long_a?freq=A&amp;unit=PC_UNE&amp;wstatus=UNE_EMP&amp;sex=T&amp;geo=FR</t>
        </is>
      </c>
      <c r="K31" s="5" t="inlineStr">
        <is>
          <t>2011-2025 (14 points, annuelle)</t>
        </is>
      </c>
      <c r="L31" s="5" t="inlineStr">
        <is>
          <t>resultat</t>
        </is>
      </c>
      <c r="M31" s="5" t="inlineStr">
        <is>
          <t>non</t>
        </is>
      </c>
      <c r="N31" s="5" t="inlineStr">
        <is>
          <t>non</t>
        </is>
      </c>
      <c r="O31" s="5" t="inlineStr">
        <is>
          <t>non</t>
        </is>
      </c>
      <c r="P31" s="5" t="inlineStr">
        <is>
          <t>non</t>
        </is>
      </c>
      <c r="Q31" s="5" t="inlineStr">
        <is>
          <t>retenir</t>
        </is>
      </c>
      <c r="R31" s="5" t="inlineStr">
        <is>
          <t>Mesure du retour à l'emploi des chômeurs, complémentaire du chômage de longue durée, série Eurostat 2011-2025 (14 points) dont le niveau saute au changement de définition de 2022.</t>
        </is>
      </c>
      <c r="S31" s="5" t="inlineStr">
        <is>
          <t>retenu</t>
        </is>
      </c>
      <c r="T31" s="7" t="inlineStr"/>
      <c r="U31" s="7" t="inlineStr"/>
    </row>
    <row r="32" ht="60" customHeight="1">
      <c r="A32" s="5" t="inlineStr">
        <is>
          <t>qualité et sécurité de l'emploi</t>
        </is>
      </c>
      <c r="B32" s="5" t="inlineStr">
        <is>
          <t>surqualification</t>
        </is>
      </c>
      <c r="C32" s="6" t="inlineStr">
        <is>
          <t>surqualification</t>
        </is>
      </c>
      <c r="D32" s="5" t="inlineStr">
        <is>
          <t>Taux de surqualification des diplômés du supérieur</t>
        </is>
      </c>
      <c r="E32" s="5" t="inlineStr">
        <is>
          <t>oui</t>
        </is>
      </c>
      <c r="F32" s="5" t="inlineStr">
        <is>
          <t>Part des diplômés de l'enseignement supérieur en emploi, de 15 ans ou plus, qui occupent un emploi ne demandant pas ce niveau de diplôme (Eurostat, enquête sur les forces de travail).</t>
        </is>
      </c>
      <c r="G32" s="5" t="inlineStr">
        <is>
          <t>bas</t>
        </is>
      </c>
      <c r="H32" s="5" t="inlineStr">
        <is>
          <t>% des diplômés du supérieur en emploi</t>
        </is>
      </c>
      <c r="I32" s="5" t="inlineStr">
        <is>
          <t>Eurostat — lfsa_eoqgan (enquête sur les forces de travail), total toutes nationalités</t>
        </is>
      </c>
      <c r="J32" s="5" t="inlineStr">
        <is>
          <t>lfsa_eoqgan?freq=A&amp;citizen=TOTAL&amp;age=Y_GE15&amp;sex=T&amp;unit=PC&amp;geo=FR</t>
        </is>
      </c>
      <c r="K32" s="5" t="inlineStr">
        <is>
          <t>2000-2025 (26 points, annuelle)</t>
        </is>
      </c>
      <c r="L32" s="5" t="inlineStr">
        <is>
          <t>resultat</t>
        </is>
      </c>
      <c r="M32" s="5" t="inlineStr">
        <is>
          <t>non</t>
        </is>
      </c>
      <c r="N32" s="5" t="inlineStr">
        <is>
          <t>non</t>
        </is>
      </c>
      <c r="O32" s="5" t="inlineStr">
        <is>
          <t>non</t>
        </is>
      </c>
      <c r="P32" s="5" t="inlineStr">
        <is>
          <t>non</t>
        </is>
      </c>
      <c r="Q32" s="5" t="inlineStr">
        <is>
          <t>retenir</t>
        </is>
      </c>
      <c r="R32" s="5" t="inlineStr">
        <is>
          <t>Concept nommé dans le contenu de la dimension et indicateur du cadre Qualité de vie, série Eurostat 2000-2025 (26 points).</t>
        </is>
      </c>
      <c r="S32" s="5" t="inlineStr">
        <is>
          <t>retenu</t>
        </is>
      </c>
      <c r="T32" s="7" t="inlineStr"/>
      <c r="U32" s="7" t="inlineStr"/>
    </row>
    <row r="33" ht="60" customHeight="1">
      <c r="A33" s="5" t="inlineStr">
        <is>
          <t>qualité et sécurité de l'emploi</t>
        </is>
      </c>
      <c r="B33" s="5" t="inlineStr">
        <is>
          <t>transitions_temporaire_permanent</t>
        </is>
      </c>
      <c r="C33" s="6" t="inlineStr">
        <is>
          <t>transitions_temporaire_permanent</t>
        </is>
      </c>
      <c r="D33" s="5" t="inlineStr">
        <is>
          <t>Passage d'un emploi temporaire à un emploi permanent</t>
        </is>
      </c>
      <c r="E33" s="5" t="inlineStr">
        <is>
          <t>oui</t>
        </is>
      </c>
      <c r="F33" s="5" t="inlineStr">
        <is>
          <t>Part des salariés en emploi temporaire une année qui occupent un emploi permanent l'année suivante, moyenne sur trois ans (Eurostat, EU-SILC longitudinal).</t>
        </is>
      </c>
      <c r="G33" s="5" t="inlineStr">
        <is>
          <t>haut</t>
        </is>
      </c>
      <c r="H33" s="5" t="inlineStr">
        <is>
          <t>% des salariés temporaires de l'année précédente</t>
        </is>
      </c>
      <c r="I33" s="5" t="inlineStr">
        <is>
          <t>Eurostat — ilc_lvhl36 (EU-SILC, volet longitudinal)</t>
        </is>
      </c>
      <c r="J33" s="5" t="inlineStr">
        <is>
          <t>ilc_lvhl36?freq=A&amp;unit=PC&amp;sex=T&amp;geo=FR</t>
        </is>
      </c>
      <c r="K33" s="5" t="inlineStr">
        <is>
          <t>2008-2025 (18 points, annuelle)</t>
        </is>
      </c>
      <c r="L33" s="5" t="inlineStr">
        <is>
          <t>resultat</t>
        </is>
      </c>
      <c r="M33" s="5" t="inlineStr">
        <is>
          <t>non</t>
        </is>
      </c>
      <c r="N33" s="5" t="inlineStr">
        <is>
          <t>non</t>
        </is>
      </c>
      <c r="O33" s="5" t="inlineStr">
        <is>
          <t>non</t>
        </is>
      </c>
      <c r="P33" s="5" t="inlineStr">
        <is>
          <t>non</t>
        </is>
      </c>
      <c r="Q33" s="5" t="inlineStr">
        <is>
          <t>retenir</t>
        </is>
      </c>
      <c r="R33" s="5" t="inlineStr">
        <is>
          <t>Seule mesure annuelle de la sortie des contrats temporaires vers l'emploi stable (2008-2025, 18 points), qui distingue un contrat court tremplin d'un contrat court piège, sous réserve de la rupture de 2020.</t>
        </is>
      </c>
      <c r="S33" s="5" t="inlineStr">
        <is>
          <t>retenu</t>
        </is>
      </c>
      <c r="T33" s="7" t="inlineStr"/>
      <c r="U33" s="7" t="inlineStr"/>
    </row>
    <row r="34" ht="60" customHeight="1">
      <c r="A34" s="5" t="inlineStr">
        <is>
          <t>rémunération</t>
        </is>
      </c>
      <c r="B34" s="5" t="inlineStr">
        <is>
          <t>bas_salaires</t>
        </is>
      </c>
      <c r="C34" s="6" t="inlineStr">
        <is>
          <t>bas_salaires</t>
        </is>
      </c>
      <c r="D34" s="5" t="inlineStr">
        <is>
          <t>Salariés à temps plein à bas salaire</t>
        </is>
      </c>
      <c r="E34" s="5" t="inlineStr">
        <is>
          <t>oui</t>
        </is>
      </c>
      <c r="F34" s="5" t="inlineStr">
        <is>
          <t>Part des salariés à temps plein dont le salaire brut est inférieur aux deux tiers du salaire médian (OCDE, base du bien-être How's Life, indicateur 2_8_DEP).</t>
        </is>
      </c>
      <c r="G34" s="5" t="inlineStr">
        <is>
          <t>bas</t>
        </is>
      </c>
      <c r="H34" s="5" t="inlineStr">
        <is>
          <t>% des salariés à temps plein</t>
        </is>
      </c>
      <c r="I34" s="5" t="inlineStr">
        <is>
          <t>OCDE (How's Life) — OECD.WISE.WDP DSD_HSL@DF_HSL_CWB (base du bien-être), indicateur 2_8_DEP</t>
        </is>
      </c>
      <c r="J34" s="5" t="inlineStr">
        <is>
          <t>OECD.WISE.WDP,DSD_HSL@DF_HSL_CWB,1.1 MEASURE=2_8_DEP UNIT_MEASURE=PT_SAL_FT</t>
        </is>
      </c>
      <c r="K34" s="5" t="inlineStr">
        <is>
          <t>2006-2024 (7 points, irreguliere)</t>
        </is>
      </c>
      <c r="L34" s="5" t="inlineStr">
        <is>
          <t>resultat</t>
        </is>
      </c>
      <c r="M34" s="5" t="inlineStr">
        <is>
          <t>non</t>
        </is>
      </c>
      <c r="N34" s="5" t="inlineStr">
        <is>
          <t>non</t>
        </is>
      </c>
      <c r="O34" s="5" t="inlineStr">
        <is>
          <t>non</t>
        </is>
      </c>
      <c r="P34" s="5" t="inlineStr">
        <is>
          <t>oui</t>
        </is>
      </c>
      <c r="Q34" s="5" t="inlineStr">
        <is>
          <t>retenir</t>
        </is>
      </c>
      <c r="R34" s="5" t="inlineStr">
        <is>
          <t>Concept nommé dans le contenu de la dimension (bas salaires), série OCDE la plus fraîche et la plus fournie (7 points de 2006 à 2024) devant l'enquête européenne sur la structure des salaires (5 points jusqu'en 2022).</t>
        </is>
      </c>
      <c r="S34" s="5" t="inlineStr">
        <is>
          <t>retenu_socle</t>
        </is>
      </c>
      <c r="T34" s="7" t="inlineStr"/>
      <c r="U34" s="7" t="inlineStr"/>
    </row>
    <row r="35" ht="60" customHeight="1">
      <c r="A35" s="5" t="inlineStr">
        <is>
          <t>rémunération</t>
        </is>
      </c>
      <c r="B35" s="5" t="inlineStr">
        <is>
          <t>bas_salaires</t>
        </is>
      </c>
      <c r="C35" s="5" t="inlineStr">
        <is>
          <t>bas_salaires_ses</t>
        </is>
      </c>
      <c r="D35" s="5" t="inlineStr">
        <is>
          <t>Salariés à bas salaire (enquête européenne sur la structure des salaires)</t>
        </is>
      </c>
      <c r="E35" s="5" t="inlineStr">
        <is>
          <t>non</t>
        </is>
      </c>
      <c r="F35" s="5" t="inlineStr">
        <is>
          <t>Part des salariés (apprentis exclus) des entreprises de 10 salariés ou plus dont le salaire horaire brut est inférieur ou égal aux deux tiers du salaire horaire brut médian national (Eurostat, enquête quadriennale sur …</t>
        </is>
      </c>
      <c r="G35" s="5" t="inlineStr">
        <is>
          <t>bas</t>
        </is>
      </c>
      <c r="H35" s="5" t="inlineStr">
        <is>
          <t>% des salariés</t>
        </is>
      </c>
      <c r="I35" s="5" t="inlineStr">
        <is>
          <t>Eurostat — earn_ses_pub1s (enquête sur la structure des salaires)</t>
        </is>
      </c>
      <c r="J35" s="5" t="inlineStr">
        <is>
          <t>earn_ses_pub1s?freq=A&amp;unit=PC&amp;sex=T&amp;sizeclas=GE10&amp;geo=FR</t>
        </is>
      </c>
      <c r="K35" s="5" t="inlineStr">
        <is>
          <t>2006-2022 (5 points, irreguliere)</t>
        </is>
      </c>
      <c r="L35" s="5" t="inlineStr">
        <is>
          <t>resultat</t>
        </is>
      </c>
      <c r="M35" s="5" t="inlineStr">
        <is>
          <t>non</t>
        </is>
      </c>
      <c r="N35" s="5" t="inlineStr">
        <is>
          <t>non</t>
        </is>
      </c>
      <c r="O35" s="5" t="inlineStr">
        <is>
          <t>non</t>
        </is>
      </c>
      <c r="P35" s="5" t="inlineStr">
        <is>
          <t>non</t>
        </is>
      </c>
      <c r="Q35" s="5" t="inlineStr">
        <is>
          <t>retenir_variante</t>
        </is>
      </c>
      <c r="R35" s="5" t="inlineStr">
        <is>
          <t>Indicateur du cadre Qualité de vie d'Eurostat, harmonisé sur le salaire horaire, mais quadriennal (5 points de 2006 à 2022) et moins frais que la série de l'OCDE.</t>
        </is>
      </c>
      <c r="S35" s="5" t="inlineStr">
        <is>
          <t>retenu</t>
        </is>
      </c>
      <c r="T35" s="7" t="inlineStr"/>
      <c r="U35" s="7" t="inlineStr"/>
    </row>
    <row r="36" ht="60" customHeight="1">
      <c r="A36" s="5" t="inlineStr">
        <is>
          <t>rémunération</t>
        </is>
      </c>
      <c r="B36" s="5" t="inlineStr">
        <is>
          <t>pauvrete_en_emploi</t>
        </is>
      </c>
      <c r="C36" s="6" t="inlineStr">
        <is>
          <t>pauvrete_en_emploi</t>
        </is>
      </c>
      <c r="D36" s="5" t="inlineStr">
        <is>
          <t>Taux de risque de pauvreté des personnes en emploi</t>
        </is>
      </c>
      <c r="E36" s="5" t="inlineStr">
        <is>
          <t>oui</t>
        </is>
      </c>
      <c r="F36" s="5" t="inlineStr">
        <is>
          <t>Part des personnes de 18 ans ou plus en emploi (statut d'activité le plus fréquent au cours de l'année de référence) dont le niveau de vie est inférieur à 60 % du niveau de vie médian (EU-SILC, enquête SRCV de l'INSEE …</t>
        </is>
      </c>
      <c r="G36" s="5" t="inlineStr">
        <is>
          <t>bas</t>
        </is>
      </c>
      <c r="H36" s="5" t="inlineStr">
        <is>
          <t>% des personnes en emploi de 18 ans ou plus</t>
        </is>
      </c>
      <c r="I36" s="5" t="inlineStr">
        <is>
          <t>Eurostat — ilc_iw01 (EU-SILC)</t>
        </is>
      </c>
      <c r="J36" s="5" t="inlineStr">
        <is>
          <t>ilc_iw01?freq=A&amp;wstatus=EMP&amp;sex=T&amp;age=Y_GE18&amp;unit=PC&amp;geo=FR</t>
        </is>
      </c>
      <c r="K36" s="5" t="inlineStr">
        <is>
          <t>2004-2025 (22 points, annuelle)</t>
        </is>
      </c>
      <c r="L36" s="5" t="inlineStr">
        <is>
          <t>resultat</t>
        </is>
      </c>
      <c r="M36" s="5" t="inlineStr">
        <is>
          <t>non</t>
        </is>
      </c>
      <c r="N36" s="5" t="inlineStr">
        <is>
          <t>non</t>
        </is>
      </c>
      <c r="O36" s="5" t="inlineStr">
        <is>
          <t>non</t>
        </is>
      </c>
      <c r="P36" s="5" t="inlineStr">
        <is>
          <t>non</t>
        </is>
      </c>
      <c r="Q36" s="5" t="inlineStr">
        <is>
          <t>retenir</t>
        </is>
      </c>
      <c r="R36" s="5" t="inlineStr">
        <is>
          <t>Mesure des travailleurs pauvres, de même définition que l'indicateur ODD européen sdg_01_41, en série annuelle 2004-2025 (22 points).</t>
        </is>
      </c>
      <c r="S36" s="5" t="inlineStr">
        <is>
          <t>retenu</t>
        </is>
      </c>
      <c r="T36" s="7" t="inlineStr"/>
      <c r="U36" s="7" t="inlineStr"/>
    </row>
    <row r="37" ht="60" customHeight="1">
      <c r="A37" s="5" t="inlineStr">
        <is>
          <t>rémunération</t>
        </is>
      </c>
      <c r="B37" s="5" t="inlineStr">
        <is>
          <t>salaire_moyen</t>
        </is>
      </c>
      <c r="C37" s="6" t="inlineStr">
        <is>
          <t>salaire_net_moyen_reel</t>
        </is>
      </c>
      <c r="D37" s="5" t="inlineStr">
        <is>
          <t>Salaire net moyen en équivalent temps plein, en euros constants (secteur privé)</t>
        </is>
      </c>
      <c r="E37" s="5" t="inlineStr">
        <is>
          <t>oui</t>
        </is>
      </c>
      <c r="F37" s="5" t="inlineStr">
        <is>
          <t>Salaire net mensuel moyen des salariés du secteur privé, tous volumes de travail convertis en équivalent temps plein, exprimé en euros constants (INSEE, séries longues sur les salaires, base Tous salariés).</t>
        </is>
      </c>
      <c r="G37" s="5" t="inlineStr">
        <is>
          <t>haut</t>
        </is>
      </c>
      <c r="H37" s="5" t="inlineStr">
        <is>
          <t>euros constants par mois</t>
        </is>
      </c>
      <c r="I37" s="5" t="inlineStr">
        <is>
          <t>INSEE — Melodi DS_DERA_PRIVE_SERIES_LONGUES (séries longues de salaires du secteur privé)</t>
        </is>
      </c>
      <c r="J37" s="5" t="inlineStr">
        <is>
          <t>DS_DERA_PRIVE_SERIES_LONGUES?ACTIVITY=_T&amp;AGE=_T&amp;DERA_MEASURE=SALAIRE_NET_EQTP_MENSUEL_MOYEN_EUROS_CONSTANTS&amp;FREQ=A&amp;GEO=FRANCE-F&amp;NUMBER_EMPL=_T&amp;PCS_ESE=_T&amp;QUANTILE=_T&amp;SEX=_T&amp;UNIT_MEASURE=XDC&amp;WKTIME=_T</t>
        </is>
      </c>
      <c r="K37" s="5" t="inlineStr">
        <is>
          <t>1996-2024 (25 points, annuelle)</t>
        </is>
      </c>
      <c r="L37" s="5" t="inlineStr">
        <is>
          <t>resultat</t>
        </is>
      </c>
      <c r="M37" s="5" t="inlineStr">
        <is>
          <t>non</t>
        </is>
      </c>
      <c r="N37" s="5" t="inlineStr">
        <is>
          <t>non</t>
        </is>
      </c>
      <c r="O37" s="5" t="inlineStr">
        <is>
          <t>non</t>
        </is>
      </c>
      <c r="P37" s="5" t="inlineStr">
        <is>
          <t>non</t>
        </is>
      </c>
      <c r="Q37" s="5" t="inlineStr">
        <is>
          <t>retenir</t>
        </is>
      </c>
      <c r="R37" s="5" t="inlineStr">
        <is>
          <t>Mesure du pouvoir d'achat du salaire, composante de la qualité de l'emploi selon la définition de la dimension, en série annuelle INSEE de 1996 à 2024 (25 points depuis 2000).</t>
        </is>
      </c>
      <c r="S37" s="5" t="inlineStr">
        <is>
          <t>retenu</t>
        </is>
      </c>
      <c r="T37" s="7" t="inlineStr"/>
      <c r="U37" s="7" t="inlineStr"/>
    </row>
    <row r="38" ht="60" customHeight="1">
      <c r="A38" s="5" t="inlineStr">
        <is>
          <t>satisfaction au travail</t>
        </is>
      </c>
      <c r="B38" s="5" t="inlineStr">
        <is>
          <t>satisfaction_travail</t>
        </is>
      </c>
      <c r="C38" s="6" t="inlineStr">
        <is>
          <t>satisfaction_travail</t>
        </is>
      </c>
      <c r="D38" s="5" t="inlineStr">
        <is>
          <t>Satisfaction concernant l'emploi principal (note moyenne de 0 à 10)</t>
        </is>
      </c>
      <c r="E38" s="5" t="inlineStr">
        <is>
          <t>oui</t>
        </is>
      </c>
      <c r="F38" s="5" t="inlineStr">
        <is>
          <t>Note moyenne, sur une échelle de 0 à 10, donnée par les personnes en emploi de 16 ans ou plus de France métropolitaine à leur satisfaction concernant leur emploi principal (INSEE, enquête Statistiques sur les ressources …</t>
        </is>
      </c>
      <c r="G38" s="5" t="inlineStr">
        <is>
          <t>haut</t>
        </is>
      </c>
      <c r="H38" s="5" t="inlineStr">
        <is>
          <t>note moyenne (0 à 10)</t>
        </is>
      </c>
      <c r="I38" s="5" t="inlineStr">
        <is>
          <t>INSEE — Melodi DS_SRCV_SATISFACTION (enquête SRCV), mesure TRAVSATISF</t>
        </is>
      </c>
      <c r="J38" s="5" t="inlineStr">
        <is>
          <t>DS_SRCV_SATISFACTION?AGE=Y_GE16&amp;DECILE_NIVVIE=_T&amp;EDUC=_T&amp;EMPSTA_ENQ=_T&amp;FREQ=A&amp;GEO=FRANCE-FM&amp;HLTH_GALI=_T&amp;HLTH_SPH=_T&amp;NATIONALITY_TYPE=_T&amp;NB_DIFF=_T&amp;PCS=_Z&amp;SATISFNOTE=_T&amp;SEX=_T&amp;SRCV_MEASURE=TRAVSATISF&amp;TPH=_T&amp;TSH=_T</t>
        </is>
      </c>
      <c r="K38" s="5" t="inlineStr">
        <is>
          <t>2010-2023 (12 points, annuelle)</t>
        </is>
      </c>
      <c r="L38" s="5" t="inlineStr">
        <is>
          <t>resultat</t>
        </is>
      </c>
      <c r="M38" s="5" t="inlineStr">
        <is>
          <t>oui</t>
        </is>
      </c>
      <c r="N38" s="5" t="inlineStr">
        <is>
          <t>non</t>
        </is>
      </c>
      <c r="O38" s="5" t="inlineStr">
        <is>
          <t>non</t>
        </is>
      </c>
      <c r="P38" s="5" t="inlineStr">
        <is>
          <t>oui</t>
        </is>
      </c>
      <c r="Q38" s="5" t="inlineStr">
        <is>
          <t>retenir</t>
        </is>
      </c>
      <c r="R38" s="5" t="inlineStr">
        <is>
          <t>Satisfaction d'un domaine rangée dans ce domaine (R4), citée par l'OCDE et le cadre Qualité de vie, seule série annuelle publique de 2010 à 2023 (12 points), quand EU-SILC n'a que 2013 et 2018 et l'OCDE trois points.</t>
        </is>
      </c>
      <c r="S38" s="5" t="inlineStr">
        <is>
          <t>retenu_socle</t>
        </is>
      </c>
      <c r="T38" s="7" t="inlineStr"/>
      <c r="U38" s="7" t="inlineStr"/>
    </row>
    <row r="39" ht="60" customHeight="1">
      <c r="A39" s="5" t="inlineStr">
        <is>
          <t>sous-emploi et temps partiel</t>
        </is>
      </c>
      <c r="B39" s="5" t="inlineStr">
        <is>
          <t>part_temps_partiel</t>
        </is>
      </c>
      <c r="C39" s="6" t="inlineStr">
        <is>
          <t>part_temps_partiel</t>
        </is>
      </c>
      <c r="D39" s="5" t="inlineStr">
        <is>
          <t>Part du temps partiel dans l'emploi</t>
        </is>
      </c>
      <c r="E39" s="5" t="inlineStr">
        <is>
          <t>oui</t>
        </is>
      </c>
      <c r="F39" s="5" t="inlineStr">
        <is>
          <t>Part des personnes en emploi qui travaillent à temps partiel, en moyenne annuelle (INSEE, enquête Emploi, séries longues rétropolées).</t>
        </is>
      </c>
      <c r="G39" s="5" t="inlineStr">
        <is>
          <t>ambigu</t>
        </is>
      </c>
      <c r="H39" s="5" t="inlineStr">
        <is>
          <t>% des personnes en emploi</t>
        </is>
      </c>
      <c r="I39" s="5" t="inlineStr">
        <is>
          <t>INSEE — Melodi DD_EEC_SERIES (enquête Emploi, séries longues), mesure PT_WKTIME_IN_EMP_BY_SEX_AGE</t>
        </is>
      </c>
      <c r="J39" s="5" t="inlineStr">
        <is>
          <t>DD_EEC_SERIES?AGE=_T&amp;COMPOHALO=_T&amp;EDUC=_T&amp;EEC_MEASURE=PT_WKTIME_IN_EMP_BY_SEX_AGE&amp;EMPFORM=_T&amp;EMPSTA=1&amp;PCS=_T&amp;SEX=_T&amp;UNDEREMP=_T&amp;UNEMPDUR=_T&amp;UNIT_MEASURE=PT&amp;WKTIME=PT</t>
        </is>
      </c>
      <c r="K39" s="5" t="inlineStr">
        <is>
          <t>1975-2025 (26 points, annuelle)</t>
        </is>
      </c>
      <c r="L39" s="5" t="inlineStr">
        <is>
          <t>resultat</t>
        </is>
      </c>
      <c r="M39" s="5" t="inlineStr">
        <is>
          <t>non</t>
        </is>
      </c>
      <c r="N39" s="5" t="inlineStr">
        <is>
          <t>non</t>
        </is>
      </c>
      <c r="O39" s="5" t="inlineStr">
        <is>
          <t>non</t>
        </is>
      </c>
      <c r="P39" s="5" t="inlineStr">
        <is>
          <t>non</t>
        </is>
      </c>
      <c r="Q39" s="5" t="inlineStr">
        <is>
          <t>ecarter</t>
        </is>
      </c>
      <c r="R39" s="5" t="inlineStr">
        <is>
          <t>Sens ambigu : le temps partiel peut être choisi ou subi, et sa part subie est mesurée par le taux de sous-emploi et le temps partiel involontaire, retenus dans la famille sous_emploi.</t>
        </is>
      </c>
      <c r="S39" s="5" t="inlineStr">
        <is>
          <t>ecarte</t>
        </is>
      </c>
      <c r="T39" s="7" t="inlineStr"/>
      <c r="U39" s="7" t="inlineStr"/>
    </row>
    <row r="40" ht="60" customHeight="1">
      <c r="A40" s="5" t="inlineStr">
        <is>
          <t>sous-emploi et temps partiel</t>
        </is>
      </c>
      <c r="B40" s="5" t="inlineStr">
        <is>
          <t>sous_emploi</t>
        </is>
      </c>
      <c r="C40" s="6" t="inlineStr">
        <is>
          <t>taux_sous_emploi</t>
        </is>
      </c>
      <c r="D40" s="5" t="inlineStr">
        <is>
          <t>Taux de sous-emploi</t>
        </is>
      </c>
      <c r="E40" s="5" t="inlineStr">
        <is>
          <t>oui</t>
        </is>
      </c>
      <c r="F40" s="5" t="inlineStr">
        <is>
          <t>Part des personnes en emploi en situation de sous-emploi au sens du BIT : à temps partiel souhaitant travailler davantage et disponibles pour le faire, ou à temps complet ayant involontairement travaillé moins que …</t>
        </is>
      </c>
      <c r="G40" s="5" t="inlineStr">
        <is>
          <t>bas</t>
        </is>
      </c>
      <c r="H40" s="5" t="inlineStr">
        <is>
          <t>% des personnes en emploi</t>
        </is>
      </c>
      <c r="I40" s="5" t="inlineStr">
        <is>
          <t>INSEE — Melodi DD_EEC_SERIES (enquête Emploi, séries longues), mesure PT_UNDEREMP_SEX_AGE_IN_EMP</t>
        </is>
      </c>
      <c r="J40" s="5" t="inlineStr">
        <is>
          <t>DD_EEC_SERIES?AGE=_T&amp;COMPOHALO=_T&amp;EDUC=_T&amp;EEC_MEASURE=PT_UNDEREMP_SEX_AGE_IN_EMP&amp;EMPFORM=_T&amp;EMPSTA=1&amp;PCS=_T&amp;SEX=_T&amp;UNDEREMP=_T&amp;UNEMPDUR=_T&amp;UNIT_MEASURE=PT&amp;WKTIME=_T</t>
        </is>
      </c>
      <c r="K40" s="5" t="inlineStr">
        <is>
          <t>1990-2025 (26 points, annuelle)</t>
        </is>
      </c>
      <c r="L40" s="5" t="inlineStr">
        <is>
          <t>resultat</t>
        </is>
      </c>
      <c r="M40" s="5" t="inlineStr">
        <is>
          <t>non</t>
        </is>
      </c>
      <c r="N40" s="5" t="inlineStr">
        <is>
          <t>non</t>
        </is>
      </c>
      <c r="O40" s="5" t="inlineStr">
        <is>
          <t>non</t>
        </is>
      </c>
      <c r="P40" s="5" t="inlineStr">
        <is>
          <t>non</t>
        </is>
      </c>
      <c r="Q40" s="5" t="inlineStr">
        <is>
          <t>retenir</t>
        </is>
      </c>
      <c r="R40" s="5" t="inlineStr">
        <is>
          <t>Mesure INSEE du temps partiel subi et du chômage partiel, en série annuelle rétropolée de 1990 à 2025 (26 points depuis 2000), indicateur national ODD 8.i3.</t>
        </is>
      </c>
      <c r="S40" s="5" t="inlineStr">
        <is>
          <t>retenu</t>
        </is>
      </c>
      <c r="T40" s="7" t="inlineStr"/>
      <c r="U40" s="7" t="inlineStr"/>
    </row>
    <row r="41" ht="60" customHeight="1">
      <c r="A41" s="5" t="inlineStr">
        <is>
          <t>sous-emploi et temps partiel</t>
        </is>
      </c>
      <c r="B41" s="5" t="inlineStr">
        <is>
          <t>sous_emploi</t>
        </is>
      </c>
      <c r="C41" s="5" t="inlineStr">
        <is>
          <t>temps_partiel_subi</t>
        </is>
      </c>
      <c r="D41" s="5" t="inlineStr">
        <is>
          <t>Temps partiel involontaire (part des personnes à temps partiel)</t>
        </is>
      </c>
      <c r="E41" s="5" t="inlineStr">
        <is>
          <t>non</t>
        </is>
      </c>
      <c r="F41" s="5" t="inlineStr">
        <is>
          <t>Part des personnes en emploi à temps partiel qui le sont faute d'avoir trouvé un emploi à temps plein, 15 ans ou plus (Eurostat, enquête sur les forces de travail).</t>
        </is>
      </c>
      <c r="G41" s="5" t="inlineStr">
        <is>
          <t>bas</t>
        </is>
      </c>
      <c r="H41" s="5" t="inlineStr">
        <is>
          <t>% de l'emploi à temps partiel</t>
        </is>
      </c>
      <c r="I41" s="5" t="inlineStr">
        <is>
          <t>Eurostat — lfsa_eppgai (enquête sur les forces de travail)</t>
        </is>
      </c>
      <c r="J41" s="5" t="inlineStr">
        <is>
          <t>lfsa_eppgai?freq=A&amp;unit=PC&amp;sex=T&amp;age=Y_GE15&amp;geo=FR</t>
        </is>
      </c>
      <c r="K41" s="5" t="inlineStr">
        <is>
          <t>2000-2025 (26 points, annuelle)</t>
        </is>
      </c>
      <c r="L41" s="5" t="inlineStr">
        <is>
          <t>resultat</t>
        </is>
      </c>
      <c r="M41" s="5" t="inlineStr">
        <is>
          <t>non</t>
        </is>
      </c>
      <c r="N41" s="5" t="inlineStr">
        <is>
          <t>non</t>
        </is>
      </c>
      <c r="O41" s="5" t="inlineStr">
        <is>
          <t>non</t>
        </is>
      </c>
      <c r="P41" s="5" t="inlineStr">
        <is>
          <t>non</t>
        </is>
      </c>
      <c r="Q41" s="5" t="inlineStr">
        <is>
          <t>retenir_variante</t>
        </is>
      </c>
      <c r="R41" s="5" t="inlineStr">
        <is>
          <t>Indicateur du cadre Qualité de vie d'Eurostat rapporté à l'ensemble des personnes à temps partiel, série 2000-2025 (26 points) mais rompue en 2021, alors que le taux de sous-emploi de l'INSEE est rétropolé.</t>
        </is>
      </c>
      <c r="S41" s="5" t="inlineStr">
        <is>
          <t>retenu</t>
        </is>
      </c>
      <c r="T41" s="7" t="inlineStr"/>
      <c r="U41" s="7" t="inlineStr"/>
    </row>
  </sheetData>
  <autoFilter ref="A1:U41"/>
  <conditionalFormatting sqref="A2:U41">
    <cfRule type="expression" priority="1" dxfId="0">
      <formula>$T2&lt;&gt;""</formula>
    </cfRule>
  </conditionalFormatting>
  <dataValidations count="1">
    <dataValidation sqref="T2:T41" showDropDown="0" showInputMessage="0" showErrorMessage="1" allowBlank="1" errorTitle="Valeur non admise" error="Choisissez une valeur dans la liste : retenu, retenu_socle, ecarte, a_discuter" type="list">
      <formula1>"retenu,retenu_socle,ecarte,a_discuter"</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0" customWidth="1" min="1" max="1"/>
    <col width="18" customWidth="1" min="2" max="2"/>
    <col width="22" customWidth="1" min="3" max="3"/>
    <col width="30" customWidth="1" min="4" max="4"/>
  </cols>
  <sheetData>
    <row r="1">
      <c r="A1" s="8" t="inlineStr">
        <is>
          <t>Dimension</t>
        </is>
      </c>
      <c r="B1" s="9" t="inlineStr">
        <is>
          <t>Travail et emploi</t>
        </is>
      </c>
    </row>
    <row r="2">
      <c r="A2" s="8" t="inlineStr">
        <is>
          <t>Indicateurs candidats (fiches)</t>
        </is>
      </c>
      <c r="B2" s="9">
        <f>COUNTA(Validation!$C$2:$C$41)</f>
        <v/>
      </c>
    </row>
    <row r="3">
      <c r="A3" s="8" t="inlineStr">
        <is>
          <t>Familles distinctes</t>
        </is>
      </c>
      <c r="B3" s="9">
        <f>SUMPRODUCT((Validation!$B$2:$B$41&lt;&gt;"")/COUNTIF(Validation!$B$2:$B$41,Validation!$B$2:$B$41&amp;""))</f>
        <v/>
      </c>
    </row>
    <row r="4">
      <c r="A4" s="9" t="inlineStr"/>
      <c r="B4" s="9" t="inlineStr"/>
    </row>
    <row r="5">
      <c r="A5" s="8" t="inlineStr">
        <is>
          <t>Recommandations de l'agent</t>
        </is>
      </c>
      <c r="B5" s="9" t="inlineStr"/>
    </row>
    <row r="6">
      <c r="A6" s="9" t="inlineStr">
        <is>
          <t xml:space="preserve">  retenir</t>
        </is>
      </c>
      <c r="B6" s="9">
        <f>COUNTIF(Validation!$Q$2:$Q$41,"retenir")</f>
        <v/>
      </c>
    </row>
    <row r="7">
      <c r="A7" s="9" t="inlineStr">
        <is>
          <t xml:space="preserve">  retenir_variante</t>
        </is>
      </c>
      <c r="B7" s="9">
        <f>COUNTIF(Validation!$Q$2:$Q$41,"retenir_variante")</f>
        <v/>
      </c>
    </row>
    <row r="8">
      <c r="A8" s="9" t="inlineStr">
        <is>
          <t xml:space="preserve">  ecarter</t>
        </is>
      </c>
      <c r="B8" s="9">
        <f>COUNTIF(Validation!$Q$2:$Q$41,"ecarter")</f>
        <v/>
      </c>
    </row>
    <row r="9">
      <c r="A9" s="9" t="inlineStr"/>
      <c r="B9" s="9" t="inlineStr"/>
    </row>
    <row r="10">
      <c r="A10" s="8" t="inlineStr">
        <is>
          <t>Socle proposé par l'agent (D41)</t>
        </is>
      </c>
      <c r="B10" s="9">
        <f>COUNTIF(Validation!$P$2:$P$41,"oui")</f>
        <v/>
      </c>
    </row>
    <row r="11">
      <c r="A11" s="9" t="inlineStr"/>
      <c r="B11" s="9" t="inlineStr"/>
    </row>
    <row r="12">
      <c r="A12" s="8" t="inlineStr">
        <is>
          <t>Décisions par défaut</t>
        </is>
      </c>
      <c r="B12" s="9" t="inlineStr"/>
    </row>
    <row r="13">
      <c r="A13" s="9" t="inlineStr">
        <is>
          <t xml:space="preserve">  retenu_socle</t>
        </is>
      </c>
      <c r="B13" s="9">
        <f>COUNTIF(Validation!$S$2:$S$41,"retenu_socle")</f>
        <v/>
      </c>
    </row>
    <row r="14">
      <c r="A14" s="9" t="inlineStr">
        <is>
          <t xml:space="preserve">  retenu</t>
        </is>
      </c>
      <c r="B14" s="9">
        <f>COUNTIF(Validation!$S$2:$S$41,"retenu")</f>
        <v/>
      </c>
    </row>
    <row r="15">
      <c r="A15" s="9" t="inlineStr">
        <is>
          <t xml:space="preserve">  ecarte</t>
        </is>
      </c>
      <c r="B15" s="9">
        <f>COUNTIF(Validation!$S$2:$S$41,"ecarte")</f>
        <v/>
      </c>
    </row>
    <row r="16">
      <c r="A16" s="9" t="inlineStr">
        <is>
          <t xml:space="preserve">  a_discuter</t>
        </is>
      </c>
      <c r="B16" s="9">
        <f>COUNTIF(Validation!$S$2:$S$41,"a_discuter")</f>
        <v/>
      </c>
    </row>
    <row r="17">
      <c r="A17" s="9" t="inlineStr"/>
      <c r="B17" s="9" t="inlineStr"/>
    </row>
    <row r="18">
      <c r="A18" s="8" t="inlineStr">
        <is>
          <t>Vos décisions saisies (exceptions)</t>
        </is>
      </c>
      <c r="B18" s="9">
        <f>COUNTA(Validation!$T$2:$T$41)</f>
        <v/>
      </c>
    </row>
    <row r="19">
      <c r="A19" s="9" t="inlineStr">
        <is>
          <t xml:space="preserve">  dont retenu_socle</t>
        </is>
      </c>
      <c r="B19" s="9">
        <f>COUNTIF(Validation!$T$2:$T$41,"retenu_socle")</f>
        <v/>
      </c>
    </row>
    <row r="20">
      <c r="A20" s="9" t="inlineStr">
        <is>
          <t xml:space="preserve">  dont retenu</t>
        </is>
      </c>
      <c r="B20" s="9">
        <f>COUNTIF(Validation!$T$2:$T$41,"retenu")</f>
        <v/>
      </c>
    </row>
    <row r="21">
      <c r="A21" s="9" t="inlineStr">
        <is>
          <t xml:space="preserve">  dont ecarte</t>
        </is>
      </c>
      <c r="B21" s="9">
        <f>COUNTIF(Validation!$T$2:$T$41,"ecarte")</f>
        <v/>
      </c>
    </row>
    <row r="22">
      <c r="A22" s="9" t="inlineStr">
        <is>
          <t xml:space="preserve">  dont a_discuter</t>
        </is>
      </c>
      <c r="B22" s="9">
        <f>COUNTIF(Validation!$T$2:$T$41,"a_discuter")</f>
        <v/>
      </c>
    </row>
    <row r="24">
      <c r="A24" s="8" t="inlineStr">
        <is>
          <t>Socle par sous-thème (D41)</t>
        </is>
      </c>
      <c r="B24" s="8" t="inlineStr">
        <is>
          <t>Fiches</t>
        </is>
      </c>
      <c r="C24" s="8" t="inlineStr">
        <is>
          <t>retenu_socle par défaut</t>
        </is>
      </c>
      <c r="D24" s="8" t="inlineStr">
        <is>
          <t>retenu_socle après vos décisions</t>
        </is>
      </c>
    </row>
    <row r="25">
      <c r="A25" s="9" t="inlineStr">
        <is>
          <t>chômage</t>
        </is>
      </c>
      <c r="B25" s="9">
        <f>COUNTIF(Validation!$A$2:$A$41,$A25)</f>
        <v/>
      </c>
      <c r="C25" s="9">
        <f>COUNTIFS(Validation!$A$2:$A$41,$A25,Validation!$S$2:$S$41,"retenu_socle")</f>
        <v/>
      </c>
      <c r="D25" s="9">
        <f>SUMPRODUCT((Validation!$A$2:$A$41=$A25)*(((Validation!$T$2:$T$41="")*(Validation!$S$2:$S$41="retenu_socle"))+(Validation!$T$2:$T$41="retenu_socle")))</f>
        <v/>
      </c>
    </row>
    <row r="26">
      <c r="A26" s="9" t="inlineStr">
        <is>
          <t>conditions et santé au travail</t>
        </is>
      </c>
      <c r="B26" s="9">
        <f>COUNTIF(Validation!$A$2:$A$41,$A26)</f>
        <v/>
      </c>
      <c r="C26" s="9">
        <f>COUNTIFS(Validation!$A$2:$A$41,$A26,Validation!$S$2:$S$41,"retenu_socle")</f>
        <v/>
      </c>
      <c r="D26" s="9">
        <f>SUMPRODUCT((Validation!$A$2:$A$41=$A26)*(((Validation!$T$2:$T$41="")*(Validation!$S$2:$S$41="retenu_socle"))+(Validation!$T$2:$T$41="retenu_socle")))</f>
        <v/>
      </c>
    </row>
    <row r="27">
      <c r="A27" s="9" t="inlineStr">
        <is>
          <t>emploi</t>
        </is>
      </c>
      <c r="B27" s="9">
        <f>COUNTIF(Validation!$A$2:$A$41,$A27)</f>
        <v/>
      </c>
      <c r="C27" s="9">
        <f>COUNTIFS(Validation!$A$2:$A$41,$A27,Validation!$S$2:$S$41,"retenu_socle")</f>
        <v/>
      </c>
      <c r="D27" s="9">
        <f>SUMPRODUCT((Validation!$A$2:$A$41=$A27)*(((Validation!$T$2:$T$41="")*(Validation!$S$2:$S$41="retenu_socle"))+(Validation!$T$2:$T$41="retenu_socle")))</f>
        <v/>
      </c>
    </row>
    <row r="28">
      <c r="A28" s="9" t="inlineStr">
        <is>
          <t>qualité et sécurité de l'emploi</t>
        </is>
      </c>
      <c r="B28" s="9">
        <f>COUNTIF(Validation!$A$2:$A$41,$A28)</f>
        <v/>
      </c>
      <c r="C28" s="9">
        <f>COUNTIFS(Validation!$A$2:$A$41,$A28,Validation!$S$2:$S$41,"retenu_socle")</f>
        <v/>
      </c>
      <c r="D28" s="9">
        <f>SUMPRODUCT((Validation!$A$2:$A$41=$A28)*(((Validation!$T$2:$T$41="")*(Validation!$S$2:$S$41="retenu_socle"))+(Validation!$T$2:$T$41="retenu_socle")))</f>
        <v/>
      </c>
    </row>
    <row r="29">
      <c r="A29" s="9" t="inlineStr">
        <is>
          <t>rémunération</t>
        </is>
      </c>
      <c r="B29" s="9">
        <f>COUNTIF(Validation!$A$2:$A$41,$A29)</f>
        <v/>
      </c>
      <c r="C29" s="9">
        <f>COUNTIFS(Validation!$A$2:$A$41,$A29,Validation!$S$2:$S$41,"retenu_socle")</f>
        <v/>
      </c>
      <c r="D29" s="9">
        <f>SUMPRODUCT((Validation!$A$2:$A$41=$A29)*(((Validation!$T$2:$T$41="")*(Validation!$S$2:$S$41="retenu_socle"))+(Validation!$T$2:$T$41="retenu_socle")))</f>
        <v/>
      </c>
    </row>
    <row r="30">
      <c r="A30" s="9" t="inlineStr">
        <is>
          <t>satisfaction au travail</t>
        </is>
      </c>
      <c r="B30" s="9">
        <f>COUNTIF(Validation!$A$2:$A$41,$A30)</f>
        <v/>
      </c>
      <c r="C30" s="9">
        <f>COUNTIFS(Validation!$A$2:$A$41,$A30,Validation!$S$2:$S$41,"retenu_socle")</f>
        <v/>
      </c>
      <c r="D30" s="9">
        <f>SUMPRODUCT((Validation!$A$2:$A$41=$A30)*(((Validation!$T$2:$T$41="")*(Validation!$S$2:$S$41="retenu_socle"))+(Validation!$T$2:$T$41="retenu_socle")))</f>
        <v/>
      </c>
    </row>
    <row r="31">
      <c r="A31" s="9" t="inlineStr">
        <is>
          <t>sous-emploi et temps partiel</t>
        </is>
      </c>
      <c r="B31" s="9">
        <f>COUNTIF(Validation!$A$2:$A$41,$A31)</f>
        <v/>
      </c>
      <c r="C31" s="9">
        <f>COUNTIFS(Validation!$A$2:$A$41,$A31,Validation!$S$2:$S$41,"retenu_socle")</f>
        <v/>
      </c>
      <c r="D31" s="9">
        <f>SUMPRODUCT((Validation!$A$2:$A$41=$A31)*(((Validation!$T$2:$T$41="")*(Validation!$S$2:$S$41="retenu_socle"))+(Validation!$T$2:$T$41="retenu_socle")))</f>
        <v/>
      </c>
    </row>
    <row r="32">
      <c r="A32" s="8" t="inlineStr">
        <is>
          <t>Total</t>
        </is>
      </c>
      <c r="B32" s="8">
        <f>SUM(B25:B31)</f>
        <v/>
      </c>
      <c r="C32" s="8">
        <f>SUM(C25:C31)</f>
        <v/>
      </c>
      <c r="D32" s="8">
        <f>SUM(D25:D31)</f>
        <v/>
      </c>
    </row>
    <row r="34">
      <c r="A34" s="10" t="inlineStr">
        <is>
          <t>Les comptes se recalculent à l'ouverture dans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2026-10-17T11:12:46Z</dcterms:created>
  <dcterms:modified xmlns:dcterms="http://purl.org/dc/terms/" xmlns:xsi="http://www.w3.org/2001/XMLSchema-instance" xsi:type="dcterms:W3CDTF">2026-10-17T11:12:46Z</dcterms:modified>
</cp:coreProperties>
</file>