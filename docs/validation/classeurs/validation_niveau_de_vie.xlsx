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Validation" sheetId="2" state="visible" r:id="rId2"/>
    <sheet xmlns:r="http://schemas.openxmlformats.org/officeDocument/2006/relationships" name="Synthèse" sheetId="3" state="visible" r:id="rId3"/>
  </sheets>
  <definedNames>
    <definedName name="_xlnm._FilterDatabase" localSheetId="1" hidden="1">'Validation'!$A$1:$S$28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font>
    <font>
      <name val="Arial"/>
      <i val="1"/>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2" fillId="0" borderId="0" pivotButton="0" quotePrefix="0" xfId="0"/>
    <xf numFmtId="0" fontId="5" fillId="0" borderId="0" pivotButton="0" quotePrefix="0" xfId="0"/>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session mère</author>
  </authors>
  <commentList>
    <comment ref="R1" authorId="0" shapeId="0">
      <text>
        <t>À remplir seulement si vous divergez de la décision par défaut. Liste : retenu, retenu_socle, ecarte, a_discuter.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40" customWidth="1" min="1" max="1"/>
  </cols>
  <sheetData>
    <row r="1">
      <c r="A1" s="1" t="inlineStr">
        <is>
          <t>Gel 2 — validation des indicateurs de la dimension « Niveau de vie »</t>
        </is>
      </c>
    </row>
    <row r="2">
      <c r="A2" s="2" t="inlineStr"/>
    </row>
    <row r="3">
      <c r="A3" s="3" t="inlineStr">
        <is>
          <t>Comment remplir ce classeur (validation par exception, charte §3.6, décision D20)</t>
        </is>
      </c>
    </row>
    <row r="4">
      <c r="A4" s="2" t="inlineStr">
        <is>
          <t>1. Ouvrez l'onglet « Validation ». Chaque ligne est un indicateur candidat (une fiche YAML dans le dépôt), regroupé par famille ; la variante principale de chaque famille est en tête.</t>
        </is>
      </c>
    </row>
    <row r="5">
      <c r="A5" s="2" t="inlineStr">
        <is>
          <t>2. Les colonnes grises sont informatives. La colonne « Recommandation de l'agent » et son motif résument l'analyse ; la colonne « Décision par défaut » indique ce qui s'appliquera si vous ne remplissez rien.</t>
        </is>
      </c>
    </row>
    <row r="6">
      <c r="A6" s="2" t="inlineStr">
        <is>
          <t>3. Ne remplissez la colonne jaune « Votre décision » que là où vous divergez ou hésitez. Valeurs possibles (liste déroulante) :</t>
        </is>
      </c>
    </row>
    <row r="7">
      <c r="A7" s="2" t="inlineStr">
        <is>
          <t xml:space="preserve">     retenu = disponible dans l'outil, non coché par défaut ;</t>
        </is>
      </c>
    </row>
    <row r="8">
      <c r="A8" s="2" t="inlineStr">
        <is>
          <t xml:space="preserve">     retenu_socle = disponible ET coché par défaut dans la configuration de référence ;</t>
        </is>
      </c>
    </row>
    <row r="9">
      <c r="A9" s="2" t="inlineStr">
        <is>
          <t xml:space="preserve">     ecarte = non retenu (indiquez pourquoi dans le commentaire) ;</t>
        </is>
      </c>
    </row>
    <row r="10">
      <c r="A10" s="2" t="inlineStr">
        <is>
          <t xml:space="preserve">     a_discuter = vous voulez en parler avant de trancher (la session mère vous posera la question).</t>
        </is>
      </c>
    </row>
    <row r="11">
      <c r="A11" s="2" t="inlineStr">
        <is>
          <t>4. Le commentaire est libre ; il est lu et conservé dans la fiche.</t>
        </is>
      </c>
    </row>
    <row r="12">
      <c r="A12" s="2" t="inlineStr">
        <is>
          <t>5. Enregistrez le fichier au même endroit, sous le même nom : la session mère le relit automatiquement.</t>
        </is>
      </c>
    </row>
    <row r="13">
      <c r="A13" s="2" t="inlineStr"/>
    </row>
    <row r="14">
      <c r="A14" s="3" t="inlineStr">
        <is>
          <t>Rappels</t>
        </is>
      </c>
    </row>
    <row r="15">
      <c r="A15" s="2" t="inlineStr">
        <is>
          <t>— Une famille regroupe des variantes d'un même concept (autre seuil, autre source, ventilation) : en général une seule variante est cochée par défaut.</t>
        </is>
      </c>
    </row>
    <row r="16">
      <c r="A16" s="2" t="inlineStr">
        <is>
          <t>— « Incontournable » = présent dans au moins trois cadres de référence (Doughnut, Stiglitz-Sen-Fitoussi, OCDE, Eurostat, INSEE).</t>
        </is>
      </c>
    </row>
    <row r="17">
      <c r="A17" s="2" t="inlineStr">
        <is>
          <t>— « Déclaratif » = donnée d'enquête d'opinion ou de ressenti ; « Composite » = indice agrégé d'un producteur tiers (V-Dem, CPI…).</t>
        </is>
      </c>
    </row>
    <row r="18">
      <c r="A18" s="2" t="inlineStr">
        <is>
          <t>— Sens « ambigu » : l'agent n'a pas pu établir si plus haut est mieux ; ces lignes sont écartées par défaut.</t>
        </is>
      </c>
    </row>
    <row r="19">
      <c r="A19" s="2" t="inlineStr">
        <is>
          <t>— Les bornes (seuil minimal, objectif) ne sont pas traitées ici : elles viendront après le gel 2 (socle v1).</t>
        </is>
      </c>
    </row>
    <row r="20">
      <c r="A20" s="2" t="inlineStr"/>
    </row>
    <row r="21">
      <c r="A21" s="2" t="inlineStr">
        <is>
          <t>Exemple de ligne remplie : décision « ecarte », commentaire « doublon de la série INSEE équivalente ; garder la variante INSEE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44" customWidth="1" min="3" max="3"/>
    <col width="11" customWidth="1" min="4" max="4"/>
    <col width="60" customWidth="1" min="5" max="5"/>
    <col width="8" customWidth="1" min="6" max="6"/>
    <col width="18" customWidth="1" min="7" max="7"/>
    <col width="36" customWidth="1" min="8" max="8"/>
    <col width="30" customWidth="1" min="9" max="9"/>
    <col width="22" customWidth="1" min="10" max="10"/>
    <col width="10" customWidth="1" min="11" max="11"/>
    <col width="10" customWidth="1" min="12" max="12"/>
    <col width="10" customWidth="1" min="13" max="13"/>
    <col width="13" customWidth="1" min="14" max="14"/>
    <col width="16" customWidth="1" min="15" max="15"/>
    <col width="70" customWidth="1" min="16" max="16"/>
    <col width="18" customWidth="1" min="17" max="17"/>
    <col width="20" customWidth="1" min="18" max="18"/>
    <col width="40" customWidth="1" min="19" max="19"/>
  </cols>
  <sheetData>
    <row r="1" ht="42" customHeight="1">
      <c r="A1" s="4" t="inlineStr">
        <is>
          <t>Famille</t>
        </is>
      </c>
      <c r="B1" s="4" t="inlineStr">
        <is>
          <t>Identifiant</t>
        </is>
      </c>
      <c r="C1" s="4" t="inlineStr">
        <is>
          <t>Libellé</t>
        </is>
      </c>
      <c r="D1" s="4" t="inlineStr">
        <is>
          <t>Variante principale</t>
        </is>
      </c>
      <c r="E1" s="4" t="inlineStr">
        <is>
          <t>Définition courte</t>
        </is>
      </c>
      <c r="F1" s="4" t="inlineStr">
        <is>
          <t>Sens</t>
        </is>
      </c>
      <c r="G1" s="4" t="inlineStr">
        <is>
          <t>Unité</t>
        </is>
      </c>
      <c r="H1" s="4" t="inlineStr">
        <is>
          <t>Source</t>
        </is>
      </c>
      <c r="I1" s="4" t="inlineStr">
        <is>
          <t>Série (identifiant)</t>
        </is>
      </c>
      <c r="J1" s="4" t="inlineStr">
        <is>
          <t>Période</t>
        </is>
      </c>
      <c r="K1" s="4" t="inlineStr">
        <is>
          <t>Type</t>
        </is>
      </c>
      <c r="L1" s="4" t="inlineStr">
        <is>
          <t>Déclaratif</t>
        </is>
      </c>
      <c r="M1" s="4" t="inlineStr">
        <is>
          <t>Composite</t>
        </is>
      </c>
      <c r="N1" s="4" t="inlineStr">
        <is>
          <t>Incontournable</t>
        </is>
      </c>
      <c r="O1" s="4" t="inlineStr">
        <is>
          <t>Recommandation de l'agent</t>
        </is>
      </c>
      <c r="P1" s="4" t="inlineStr">
        <is>
          <t>Motif de la recommandation</t>
        </is>
      </c>
      <c r="Q1" s="4" t="inlineStr">
        <is>
          <t>Décision par défaut (si vous ne remplissez rien)</t>
        </is>
      </c>
      <c r="R1" s="4" t="inlineStr">
        <is>
          <t>Votre décision (liste déroulante)</t>
        </is>
      </c>
      <c r="S1" s="4" t="inlineStr">
        <is>
          <t>Votre commentaire</t>
        </is>
      </c>
    </row>
    <row r="2" ht="60" customHeight="1">
      <c r="A2" s="5" t="inlineStr">
        <is>
          <t>consommation_menages</t>
        </is>
      </c>
      <c r="B2" s="6" t="inlineStr">
        <is>
          <t>consommation_effective_habitant</t>
        </is>
      </c>
      <c r="C2" s="5" t="inlineStr">
        <is>
          <t>Consommation individuelle effective par habitant en volume</t>
        </is>
      </c>
      <c r="D2" s="5" t="inlineStr">
        <is>
          <t>oui</t>
        </is>
      </c>
      <c r="E2" s="5" t="inlineStr">
        <is>
          <t>Biens et services consommés par les ménages, qu'ils les paient eux-mêmes ou qu'ils soient financés par les administrations ou les institutions sans but lucratif (santé, éducation, logement social…), rapportés à la …</t>
        </is>
      </c>
      <c r="F2" s="5" t="inlineStr">
        <is>
          <t>haut</t>
        </is>
      </c>
      <c r="G2" s="5" t="inlineStr">
        <is>
          <t>euros de 2020 par habitant</t>
        </is>
      </c>
      <c r="H2" s="5" t="inlineStr">
        <is>
          <t>Eurostat — nama_10_pc (PIB et principales composantes par habitant), na_item P41</t>
        </is>
      </c>
      <c r="I2" s="5" t="inlineStr">
        <is>
          <t>nama_10_pc?freq=A&amp;unit=CLV20_EUR_HAB&amp;na_item=P41&amp;geo=FR</t>
        </is>
      </c>
      <c r="J2" s="5" t="inlineStr">
        <is>
          <t>2000-2025 (26 points, annuelle)</t>
        </is>
      </c>
      <c r="K2" s="5" t="inlineStr">
        <is>
          <t>resultat</t>
        </is>
      </c>
      <c r="L2" s="5" t="inlineStr">
        <is>
          <t>non</t>
        </is>
      </c>
      <c r="M2" s="5" t="inlineStr">
        <is>
          <t>non</t>
        </is>
      </c>
      <c r="N2" s="5" t="inlineStr">
        <is>
          <t>non</t>
        </is>
      </c>
      <c r="O2" s="5" t="inlineStr">
        <is>
          <t>retenir</t>
        </is>
      </c>
      <c r="P2" s="5" t="inlineStr">
        <is>
          <t>Mesure de la consommation retenue par Stiglitz-Sen-Fitoussi et le cadre Qualité de vie d'Eurostat, en niveau par habitant et en volume de 2000 à 2025 (26 points), que l'INSEE ne publie qu'en total.</t>
        </is>
      </c>
      <c r="Q2" s="5" t="inlineStr">
        <is>
          <t>retenu</t>
        </is>
      </c>
      <c r="R2" s="7" t="inlineStr"/>
      <c r="S2" s="7" t="inlineStr"/>
    </row>
    <row r="3" ht="60" customHeight="1">
      <c r="A3" s="5" t="inlineStr">
        <is>
          <t>depenses_pre_engagees</t>
        </is>
      </c>
      <c r="B3" s="6" t="inlineStr">
        <is>
          <t>depenses_pre_engagees</t>
        </is>
      </c>
      <c r="C3" s="5" t="inlineStr">
        <is>
          <t>Part des dépenses pré-engagées dans le revenu disponible des ménages</t>
        </is>
      </c>
      <c r="D3" s="5" t="inlineStr">
        <is>
          <t>oui</t>
        </is>
      </c>
      <c r="E3" s="5" t="inlineStr">
        <is>
          <t>Part, dans le revenu disponible brut des ménages, des dépenses réalisées dans le cadre d'un contrat difficilement renégociable à court terme : logement (y compris loyers imputés), eau, énergie, télécommunications, …</t>
        </is>
      </c>
      <c r="F3" s="5" t="inlineStr">
        <is>
          <t>bas</t>
        </is>
      </c>
      <c r="G3" s="5" t="inlineStr">
        <is>
          <t>% du revenu disponible brut</t>
        </is>
      </c>
      <c r="H3" s="5" t="inlineStr">
        <is>
          <t>INSEE — Melodi DD_CNA_AGREGATS (comptes nationaux annuels, base 2020), mesure _DEP_REVENU</t>
        </is>
      </c>
      <c r="I3" s="5" t="inlineStr">
        <is>
          <t>DD_CNA_AGREGATS?ACCOUNTING_ENTRY=_Z&amp;ACTIVITY=_T&amp;COUNTERPART_AREA=W2&amp;EXPENDITURE=CPDPE&amp;FREQ=A&amp;GEO=FRANCE-F&amp;INSTR_ASSET=_Z&amp;PRICES=V&amp;PRODUCT=_T&amp;REF_SECTOR=S14&amp;REF_YEAR_PRICE=&amp;STO=_DEP_REVENU&amp;TRANSFORMATION=N&amp;UNIT_MEASURE=PT</t>
        </is>
      </c>
      <c r="J3" s="5" t="inlineStr">
        <is>
          <t>1959-2025 (26 points, annuelle)</t>
        </is>
      </c>
      <c r="K3" s="5" t="inlineStr">
        <is>
          <t>resultat</t>
        </is>
      </c>
      <c r="L3" s="5" t="inlineStr">
        <is>
          <t>non</t>
        </is>
      </c>
      <c r="M3" s="5" t="inlineStr">
        <is>
          <t>non</t>
        </is>
      </c>
      <c r="N3" s="5" t="inlineStr">
        <is>
          <t>non</t>
        </is>
      </c>
      <c r="O3" s="5" t="inlineStr">
        <is>
          <t>retenir</t>
        </is>
      </c>
      <c r="P3" s="5" t="inlineStr">
        <is>
          <t>Mesure des dépenses contraintes, voisine de la « part des dépenses de base dans le budget » du cadre Qualité de vie d'Eurostat, publiée par l'INSEE de 1959 à 2025 (26 points).</t>
        </is>
      </c>
      <c r="Q3" s="5" t="inlineStr">
        <is>
          <t>retenu</t>
        </is>
      </c>
      <c r="R3" s="7" t="inlineStr"/>
      <c r="S3" s="7" t="inlineStr"/>
    </row>
    <row r="4" ht="60" customHeight="1">
      <c r="A4" s="5" t="inlineStr">
        <is>
          <t>intensite_pauvrete</t>
        </is>
      </c>
      <c r="B4" s="6" t="inlineStr">
        <is>
          <t>intensite_pauvrete</t>
        </is>
      </c>
      <c r="C4" s="5" t="inlineStr">
        <is>
          <t>Intensité de la pauvreté (seuil à 60 %)</t>
        </is>
      </c>
      <c r="D4" s="5" t="inlineStr">
        <is>
          <t>oui</t>
        </is>
      </c>
      <c r="E4" s="5" t="inlineStr">
        <is>
          <t>Écart relatif entre le niveau de vie médian des personnes pauvres et le seuil de pauvreté à 60 % du niveau de vie médian, en pourcentage du seuil (enquête Revenus fiscaux et sociaux, données rétropolées, France …</t>
        </is>
      </c>
      <c r="F4" s="5" t="inlineStr">
        <is>
          <t>bas</t>
        </is>
      </c>
      <c r="G4" s="5" t="inlineStr">
        <is>
          <t>% du seuil de pauvreté</t>
        </is>
      </c>
      <c r="H4" s="5" t="inlineStr">
        <is>
          <t>INSEE — Melodi DS_ERFS_RETROPOLE (enquête ERFS, données rétropolées), mesure PI_MD60</t>
        </is>
      </c>
      <c r="I4" s="5" t="inlineStr">
        <is>
          <t>DS_ERFS_RETROPOLE?AGE=_T&amp;EMPSTA_ENQ=_T&amp;ERFS_MEASURE=PI_MD60&amp;GEO=FRANCE-FM&amp;MUN_DENSITY_LEVEL=_T&amp;TPH=_T</t>
        </is>
      </c>
      <c r="J4" s="5" t="inlineStr">
        <is>
          <t>1996-2024 (25 points, annuelle)</t>
        </is>
      </c>
      <c r="K4" s="5" t="inlineStr">
        <is>
          <t>resultat</t>
        </is>
      </c>
      <c r="L4" s="5" t="inlineStr">
        <is>
          <t>non</t>
        </is>
      </c>
      <c r="M4" s="5" t="inlineStr">
        <is>
          <t>non</t>
        </is>
      </c>
      <c r="N4" s="5" t="inlineStr">
        <is>
          <t>non</t>
        </is>
      </c>
      <c r="O4" s="5" t="inlineStr">
        <is>
          <t>retenir</t>
        </is>
      </c>
      <c r="P4" s="5" t="inlineStr">
        <is>
          <t>Concept nommé dans le contenu de la dimension (« intensité de la pauvreté »), indicateur ODD 1.i3, publié sans rupture de 1996 à 2024 (25 points).</t>
        </is>
      </c>
      <c r="Q4" s="5" t="inlineStr">
        <is>
          <t>retenu</t>
        </is>
      </c>
      <c r="R4" s="7" t="inlineStr"/>
      <c r="S4" s="7" t="inlineStr"/>
    </row>
    <row r="5" ht="60" customHeight="1">
      <c r="A5" s="5" t="inlineStr">
        <is>
          <t>niveau_vie_median</t>
        </is>
      </c>
      <c r="B5" s="6" t="inlineStr">
        <is>
          <t>niveau_vie_median</t>
        </is>
      </c>
      <c r="C5" s="5" t="inlineStr">
        <is>
          <t>Niveau de vie médian</t>
        </is>
      </c>
      <c r="D5" s="5" t="inlineStr">
        <is>
          <t>oui</t>
        </is>
      </c>
      <c r="E5" s="5" t="inlineStr">
        <is>
          <t>Niveau de vie (revenu disponible du ménage après impôts directs et prestations sociales, divisé par le nombre d'unités de consommation) qui partage la population en deux moitiés, en euros constants de la dernière année …</t>
        </is>
      </c>
      <c r="F5" s="5" t="inlineStr">
        <is>
          <t>haut</t>
        </is>
      </c>
      <c r="G5" s="5" t="inlineStr">
        <is>
          <t>euros constants par an et par unité de consommation</t>
        </is>
      </c>
      <c r="H5" s="5" t="inlineStr">
        <is>
          <t>INSEE — Melodi DS_ERFS_RETROPOLE (enquête ERFS, données rétropolées), mesure MED_SL</t>
        </is>
      </c>
      <c r="I5" s="5" t="inlineStr">
        <is>
          <t>DS_ERFS_RETROPOLE?AGE=_T&amp;EMPSTA_ENQ=_T&amp;ERFS_MEASURE=MED_SL&amp;GEO=FRANCE-FM&amp;MUN_DENSITY_LEVEL=_T&amp;TPH=_T</t>
        </is>
      </c>
      <c r="J5" s="5" t="inlineStr">
        <is>
          <t>1996-2024 (25 points, annuelle)</t>
        </is>
      </c>
      <c r="K5" s="5" t="inlineStr">
        <is>
          <t>resultat</t>
        </is>
      </c>
      <c r="L5" s="5" t="inlineStr">
        <is>
          <t>non</t>
        </is>
      </c>
      <c r="M5" s="5" t="inlineStr">
        <is>
          <t>non</t>
        </is>
      </c>
      <c r="N5" s="5" t="inlineStr">
        <is>
          <t>oui</t>
        </is>
      </c>
      <c r="O5" s="5" t="inlineStr">
        <is>
          <t>retenir</t>
        </is>
      </c>
      <c r="P5" s="5" t="inlineStr">
        <is>
          <t>Revenu médian des ménages, concept du cadre Qualité de vie d'Eurostat et de Stiglitz-Sen-Fitoussi (§5 du crosswalk), publié sans rupture par l'INSEE de 1996 à 2024 (25 points depuis 2000).</t>
        </is>
      </c>
      <c r="Q5" s="5" t="inlineStr">
        <is>
          <t>retenu_socle</t>
        </is>
      </c>
      <c r="R5" s="7" t="inlineStr"/>
      <c r="S5" s="7" t="inlineStr"/>
    </row>
    <row r="6" ht="60" customHeight="1">
      <c r="A6" s="5" t="inlineStr">
        <is>
          <t>niveau_vie_modestes</t>
        </is>
      </c>
      <c r="B6" s="6" t="inlineStr">
        <is>
          <t>niveau_vie_modestes</t>
        </is>
      </c>
      <c r="C6" s="5" t="inlineStr">
        <is>
          <t>Niveau de vie des plus modestes (premier décile)</t>
        </is>
      </c>
      <c r="D6" s="5" t="inlineStr">
        <is>
          <t>oui</t>
        </is>
      </c>
      <c r="E6" s="5" t="inlineStr">
        <is>
          <t>Premier décile du niveau de vie : niveau de vie au-dessous duquel vivent les 10 % de personnes les plus modestes, en euros constants (enquête Revenus fiscaux et sociaux, données rétropolées, France métropolitaine).</t>
        </is>
      </c>
      <c r="F6" s="5" t="inlineStr">
        <is>
          <t>haut</t>
        </is>
      </c>
      <c r="G6" s="5" t="inlineStr">
        <is>
          <t>euros constants par an et par unité de consommation</t>
        </is>
      </c>
      <c r="H6" s="5" t="inlineStr">
        <is>
          <t>INSEE — Melodi DS_ERFS_RETROPOLE (enquête ERFS, données rétropolées), mesure D1_SL</t>
        </is>
      </c>
      <c r="I6" s="5" t="inlineStr">
        <is>
          <t>DS_ERFS_RETROPOLE?AGE=_T&amp;EMPSTA_ENQ=_T&amp;ERFS_MEASURE=D1_SL&amp;GEO=FRANCE-FM&amp;MUN_DENSITY_LEVEL=_T&amp;TPH=_T</t>
        </is>
      </c>
      <c r="J6" s="5" t="inlineStr">
        <is>
          <t>1996-2024 (25 points, annuelle)</t>
        </is>
      </c>
      <c r="K6" s="5" t="inlineStr">
        <is>
          <t>resultat</t>
        </is>
      </c>
      <c r="L6" s="5" t="inlineStr">
        <is>
          <t>non</t>
        </is>
      </c>
      <c r="M6" s="5" t="inlineStr">
        <is>
          <t>non</t>
        </is>
      </c>
      <c r="N6" s="5" t="inlineStr">
        <is>
          <t>non</t>
        </is>
      </c>
      <c r="O6" s="5" t="inlineStr">
        <is>
          <t>retenir</t>
        </is>
      </c>
      <c r="P6" s="5" t="inlineStr">
        <is>
          <t>Seule mesure en euros constants du niveau de vie du bas de la distribution, publiée sans rupture de 1996 à 2024 (25 points depuis 2000), complémentaire du taux de pauvreté qui est relatif au médian.</t>
        </is>
      </c>
      <c r="Q6" s="5" t="inlineStr">
        <is>
          <t>retenu</t>
        </is>
      </c>
      <c r="R6" s="7" t="inlineStr"/>
      <c r="S6" s="7" t="inlineStr"/>
    </row>
    <row r="7" ht="60" customHeight="1">
      <c r="A7" s="5" t="inlineStr">
        <is>
          <t>niveau_vie_modestes</t>
        </is>
      </c>
      <c r="B7" s="5" t="inlineStr">
        <is>
          <t>pauvrete_ancree_2008</t>
        </is>
      </c>
      <c r="C7" s="5" t="inlineStr">
        <is>
          <t>Taux de pauvreté ancré dans le temps (seuil de 2008)</t>
        </is>
      </c>
      <c r="D7" s="5" t="inlineStr">
        <is>
          <t>non</t>
        </is>
      </c>
      <c r="E7" s="5" t="inlineStr">
        <is>
          <t>Part des personnes dont le revenu disponible équivalent est inférieur au seuil de pauvreté de 2008 (60 % du revenu médian de 2008), réévalué de l'inflation (EU-SILC).</t>
        </is>
      </c>
      <c r="F7" s="5" t="inlineStr">
        <is>
          <t>bas</t>
        </is>
      </c>
      <c r="G7" s="5" t="inlineStr">
        <is>
          <t>% de la population</t>
        </is>
      </c>
      <c r="H7" s="5" t="inlineStr">
        <is>
          <t>Eurostat — ilc_li22b (taux de risque de pauvreté ancré en 2008, enquêtes EU-SILC)</t>
        </is>
      </c>
      <c r="I7" s="5" t="inlineStr">
        <is>
          <t>ilc_li22b?freq=A&amp;statinfo=MED_EI&amp;unit=PC&amp;rskpovth=B_60&amp;sex=T&amp;age=TOTAL&amp;geo=FR</t>
        </is>
      </c>
      <c r="J7" s="5" t="inlineStr">
        <is>
          <t>2008-2025 (18 points, annuelle)</t>
        </is>
      </c>
      <c r="K7" s="5" t="inlineStr">
        <is>
          <t>resultat</t>
        </is>
      </c>
      <c r="L7" s="5" t="inlineStr">
        <is>
          <t>non</t>
        </is>
      </c>
      <c r="M7" s="5" t="inlineStr">
        <is>
          <t>non</t>
        </is>
      </c>
      <c r="N7" s="5" t="inlineStr">
        <is>
          <t>non</t>
        </is>
      </c>
      <c r="O7" s="5" t="inlineStr">
        <is>
          <t>retenir_variante</t>
        </is>
      </c>
      <c r="P7" s="5" t="inlineStr">
        <is>
          <t>Indicateur de pauvreté « absolue » du cadre Qualité de vie d'Eurostat, annuel de 2008 à 2025 (18 points), lecture en taux du premier décile en euros constants, principal de la famille, mais dont la hausse tient aux ruptures d'EU-SILC de 2020 et 2022.</t>
        </is>
      </c>
      <c r="Q7" s="5" t="inlineStr">
        <is>
          <t>retenu</t>
        </is>
      </c>
      <c r="R7" s="7" t="inlineStr"/>
      <c r="S7" s="7" t="inlineStr"/>
    </row>
    <row r="8" ht="60" customHeight="1">
      <c r="A8" s="5" t="inlineStr">
        <is>
          <t>patrimoine_menages</t>
        </is>
      </c>
      <c r="B8" s="6" t="inlineStr">
        <is>
          <t>patrimoine_net_median</t>
        </is>
      </c>
      <c r="C8" s="5" t="inlineStr">
        <is>
          <t>Patrimoine net médian des ménages</t>
        </is>
      </c>
      <c r="D8" s="5" t="inlineStr">
        <is>
          <t>oui</t>
        </is>
      </c>
      <c r="E8" s="5" t="inlineStr">
        <is>
          <t>Patrimoine net (actifs immobiliers, financiers et professionnels moins les dettes, hors « reste » : véhicules, équipement, objets de valeur) au-dessous duquel se situe la moitié des ménages, en euros constants (enquête …</t>
        </is>
      </c>
      <c r="F8" s="5" t="inlineStr">
        <is>
          <t>haut</t>
        </is>
      </c>
      <c r="G8" s="5" t="inlineStr">
        <is>
          <t>euros constants par ménage</t>
        </is>
      </c>
      <c r="H8" s="5" t="inlineStr">
        <is>
          <t>INSEE — Melodi DS_ENQPAT_DET (détention et montants du patrimoine des ménages), mesure MT_PATNET_HR_CST, médiane (D5), comparable depuis 2010</t>
        </is>
      </c>
      <c r="I8" s="5" t="inlineStr">
        <is>
          <t>DS_ENQPAT_DET?AGE=_T&amp;COMPARE_TIME=1_2010&amp;DEG_URB_UNIT=_T&amp;ENQPAT_MEASURE=MT_PATNET_HR_CST&amp;GEO=FRANCE-FM&amp;PCS=_T&amp;QUANTILE=D5&amp;QUANTILE_MEASURE=PATNET_HR_CST&amp;TPH=_T</t>
        </is>
      </c>
      <c r="J8" s="5" t="inlineStr">
        <is>
          <t>2010-2024 (5 points, irreguliere)</t>
        </is>
      </c>
      <c r="K8" s="5" t="inlineStr">
        <is>
          <t>resultat</t>
        </is>
      </c>
      <c r="L8" s="5" t="inlineStr">
        <is>
          <t>non</t>
        </is>
      </c>
      <c r="M8" s="5" t="inlineStr">
        <is>
          <t>non</t>
        </is>
      </c>
      <c r="N8" s="5" t="inlineStr">
        <is>
          <t>non</t>
        </is>
      </c>
      <c r="O8" s="5" t="inlineStr">
        <is>
          <t>retenir</t>
        </is>
      </c>
      <c r="P8" s="5" t="inlineStr">
        <is>
          <t>Seule mesure du patrimoine du ménage médian (Stiglitz-Sen-Fitoussi, OCDE 1_3), cinq vagues de 2010 à 2024 admises comme série pluriannuelle (D17, D28 : écart moyen de 3,5 ans).</t>
        </is>
      </c>
      <c r="Q8" s="5" t="inlineStr">
        <is>
          <t>retenu</t>
        </is>
      </c>
      <c r="R8" s="7" t="inlineStr"/>
      <c r="S8" s="7" t="inlineStr"/>
    </row>
    <row r="9" ht="60" customHeight="1">
      <c r="A9" s="5" t="inlineStr">
        <is>
          <t>pauvrete_enfants</t>
        </is>
      </c>
      <c r="B9" s="6" t="inlineStr">
        <is>
          <t>taux_pauvrete_enfants</t>
        </is>
      </c>
      <c r="C9" s="5" t="inlineStr">
        <is>
          <t>Taux de pauvreté des enfants (moins de 18 ans, seuil à 60 %)</t>
        </is>
      </c>
      <c r="D9" s="5" t="inlineStr">
        <is>
          <t>oui</t>
        </is>
      </c>
      <c r="E9" s="5" t="inlineStr">
        <is>
          <t>Part des personnes de moins de 18 ans vivant dans un ménage dont le niveau de vie est inférieur à 60 % du niveau de vie médian (enquête Revenus fiscaux et sociaux, données non rétropolées, France métropolitaine).</t>
        </is>
      </c>
      <c r="F9" s="5" t="inlineStr">
        <is>
          <t>bas</t>
        </is>
      </c>
      <c r="G9" s="5" t="inlineStr">
        <is>
          <t>% des moins de 18 ans</t>
        </is>
      </c>
      <c r="H9" s="5" t="inlineStr">
        <is>
          <t>INSEE — Melodi DS_ERFS_NON_RETROPOLE (enquête ERFS), mesure PR_MD60, âge Y_LT18, valeurs hors rupture (COMPARE_TIME = NB)</t>
        </is>
      </c>
      <c r="I9" s="5" t="inlineStr">
        <is>
          <t>DS_ERFS_NON_RETROPOLE?AGE=Y_LT18&amp;COMPARE_TIME=NB&amp;EMPSTA_ENQ=_T&amp;ERFS_MEASURE=PR_MD60&amp;GEO=FRANCE-FM&amp;PCS=_T&amp;QUANTILE=_T&amp;SEX=_T&amp;TPH=_T</t>
        </is>
      </c>
      <c r="J9" s="5" t="inlineStr">
        <is>
          <t>1996-2024 (22 points, annuelle)</t>
        </is>
      </c>
      <c r="K9" s="5" t="inlineStr">
        <is>
          <t>resultat</t>
        </is>
      </c>
      <c r="L9" s="5" t="inlineStr">
        <is>
          <t>non</t>
        </is>
      </c>
      <c r="M9" s="5" t="inlineStr">
        <is>
          <t>non</t>
        </is>
      </c>
      <c r="N9" s="5" t="inlineStr">
        <is>
          <t>non</t>
        </is>
      </c>
      <c r="O9" s="5" t="inlineStr">
        <is>
          <t>retenir</t>
        </is>
      </c>
      <c r="P9" s="5" t="inlineStr">
        <is>
          <t>Préoccupation publique propre (ODD 1.2, sous-objectif enfants de la cible européenne 2030), série annuelle de l'INSEE de 1996 à 2024 (22 points depuis 2000), fiche distincte de la pauvreté d'ensemble (D32).</t>
        </is>
      </c>
      <c r="Q9" s="5" t="inlineStr">
        <is>
          <t>retenu</t>
        </is>
      </c>
      <c r="R9" s="7" t="inlineStr"/>
      <c r="S9" s="7" t="inlineStr"/>
    </row>
    <row r="10" ht="60" customHeight="1">
      <c r="A10" s="5" t="inlineStr">
        <is>
          <t>pauvrete_exclusion_arope</t>
        </is>
      </c>
      <c r="B10" s="6" t="inlineStr">
        <is>
          <t>pauvrete_exclusion_arope</t>
        </is>
      </c>
      <c r="C10" s="5" t="inlineStr">
        <is>
          <t>Personnes en risque de pauvreté ou d'exclusion sociale (AROPE)</t>
        </is>
      </c>
      <c r="D10" s="5" t="inlineStr">
        <is>
          <t>oui</t>
        </is>
      </c>
      <c r="E10" s="5" t="inlineStr">
        <is>
          <t>Part des personnes en risque de pauvreté (moins de 60 % du revenu médian), ou en situation de privation matérielle et sociale sévère, ou vivant dans un ménage à très faible intensité de travail (définition de la …</t>
        </is>
      </c>
      <c r="F10" s="5" t="inlineStr">
        <is>
          <t>bas</t>
        </is>
      </c>
      <c r="G10" s="5" t="inlineStr">
        <is>
          <t>% de la population</t>
        </is>
      </c>
      <c r="H10" s="5" t="inlineStr">
        <is>
          <t>Eurostat — sdg_01_10 (indicateur ODD de l'UE, définition 2030 ; doublon ilc_peps01n)</t>
        </is>
      </c>
      <c r="I10" s="5" t="inlineStr">
        <is>
          <t>sdg_01_10?freq=A&amp;age=TOTAL&amp;unit=PC&amp;geo=FR</t>
        </is>
      </c>
      <c r="J10" s="5" t="inlineStr">
        <is>
          <t>2015-2025 (11 points, annuelle)</t>
        </is>
      </c>
      <c r="K10" s="5" t="inlineStr">
        <is>
          <t>resultat</t>
        </is>
      </c>
      <c r="L10" s="5" t="inlineStr">
        <is>
          <t>non</t>
        </is>
      </c>
      <c r="M10" s="5" t="inlineStr">
        <is>
          <t>oui</t>
        </is>
      </c>
      <c r="N10" s="5" t="inlineStr">
        <is>
          <t>non</t>
        </is>
      </c>
      <c r="O10" s="5" t="inlineStr">
        <is>
          <t>retenir</t>
        </is>
      </c>
      <c r="P10" s="5" t="inlineStr">
        <is>
          <t>Indicateur de l'objectif européen et français 2030 (−1,1 million de personnes en France par rapport à 2019, objectifs officiels du référentiel), annuel de 2015 à 2025 (11 points).</t>
        </is>
      </c>
      <c r="Q10" s="5" t="inlineStr">
        <is>
          <t>retenu</t>
        </is>
      </c>
      <c r="R10" s="7" t="inlineStr"/>
      <c r="S10" s="7" t="inlineStr"/>
    </row>
    <row r="11" ht="60" customHeight="1">
      <c r="A11" s="5" t="inlineStr">
        <is>
          <t>pauvrete_monetaire</t>
        </is>
      </c>
      <c r="B11" s="6" t="inlineStr">
        <is>
          <t>taux_pauvrete_60</t>
        </is>
      </c>
      <c r="C11" s="5" t="inlineStr">
        <is>
          <t>Taux de pauvreté monétaire (seuil à 60 % du niveau de vie médian)</t>
        </is>
      </c>
      <c r="D11" s="5" t="inlineStr">
        <is>
          <t>oui</t>
        </is>
      </c>
      <c r="E11" s="5" t="inlineStr">
        <is>
          <t>Part des personnes dont le niveau de vie est inférieur à 60 % du niveau de vie médian (enquête Revenus fiscaux et sociaux, données rétropolées, France métropolitaine, ménages ordinaires).</t>
        </is>
      </c>
      <c r="F11" s="5" t="inlineStr">
        <is>
          <t>bas</t>
        </is>
      </c>
      <c r="G11" s="5" t="inlineStr">
        <is>
          <t>% de la population</t>
        </is>
      </c>
      <c r="H11" s="5" t="inlineStr">
        <is>
          <t>INSEE — Melodi DS_ERFS_RETROPOLE (enquête ERFS, données rétropolées), mesure PR_MD60</t>
        </is>
      </c>
      <c r="I11" s="5" t="inlineStr">
        <is>
          <t>DS_ERFS_RETROPOLE?AGE=_T&amp;EMPSTA_ENQ=_T&amp;ERFS_MEASURE=PR_MD60&amp;GEO=FRANCE-FM&amp;MUN_DENSITY_LEVEL=_T&amp;TPH=_T</t>
        </is>
      </c>
      <c r="J11" s="5" t="inlineStr">
        <is>
          <t>1996-2024 (25 points, annuelle)</t>
        </is>
      </c>
      <c r="K11" s="5" t="inlineStr">
        <is>
          <t>resultat</t>
        </is>
      </c>
      <c r="L11" s="5" t="inlineStr">
        <is>
          <t>non</t>
        </is>
      </c>
      <c r="M11" s="5" t="inlineStr">
        <is>
          <t>non</t>
        </is>
      </c>
      <c r="N11" s="5" t="inlineStr">
        <is>
          <t>oui</t>
        </is>
      </c>
      <c r="O11" s="5" t="inlineStr">
        <is>
          <t>retenir</t>
        </is>
      </c>
      <c r="P11" s="5" t="inlineStr">
        <is>
          <t>Concept présent dans les cinq cadres de référence (§5 du crosswalk, en complément pour l'INSEE), indicateur ODD national 1.i1a, publié sans rupture par l'INSEE de 1996 à 2024 (25 points), un an de plus que la série ODD de la BDM.</t>
        </is>
      </c>
      <c r="Q11" s="5" t="inlineStr">
        <is>
          <t>retenu_socle</t>
        </is>
      </c>
      <c r="R11" s="7" t="inlineStr"/>
      <c r="S11" s="7" t="inlineStr"/>
    </row>
    <row r="12" ht="60" customHeight="1">
      <c r="A12" s="5" t="inlineStr">
        <is>
          <t>pauvrete_monetaire</t>
        </is>
      </c>
      <c r="B12" s="5" t="inlineStr">
        <is>
          <t>taux_pauvrete_50</t>
        </is>
      </c>
      <c r="C12" s="5" t="inlineStr">
        <is>
          <t>Taux de pauvreté monétaire (seuil à 50 % du niveau de vie médian)</t>
        </is>
      </c>
      <c r="D12" s="5" t="inlineStr">
        <is>
          <t>non</t>
        </is>
      </c>
      <c r="E12" s="5" t="inlineStr">
        <is>
          <t>Part des personnes dont le niveau de vie est inférieur à 50 % du niveau de vie médian (enquête Revenus fiscaux et sociaux, données rétropolées, France métropolitaine).</t>
        </is>
      </c>
      <c r="F12" s="5" t="inlineStr">
        <is>
          <t>bas</t>
        </is>
      </c>
      <c r="G12" s="5" t="inlineStr">
        <is>
          <t>% de la population</t>
        </is>
      </c>
      <c r="H12" s="5" t="inlineStr">
        <is>
          <t>INSEE — Melodi DS_ERFS_RETROPOLE (enquête ERFS, données rétropolées), mesure PR_MD50</t>
        </is>
      </c>
      <c r="I12" s="5" t="inlineStr">
        <is>
          <t>DS_ERFS_RETROPOLE?AGE=_T&amp;EMPSTA_ENQ=_T&amp;ERFS_MEASURE=PR_MD50&amp;GEO=FRANCE-FM&amp;MUN_DENSITY_LEVEL=_T&amp;TPH=_T</t>
        </is>
      </c>
      <c r="J12" s="5" t="inlineStr">
        <is>
          <t>1996-2024 (25 points, annuelle)</t>
        </is>
      </c>
      <c r="K12" s="5" t="inlineStr">
        <is>
          <t>resultat</t>
        </is>
      </c>
      <c r="L12" s="5" t="inlineStr">
        <is>
          <t>non</t>
        </is>
      </c>
      <c r="M12" s="5" t="inlineStr">
        <is>
          <t>non</t>
        </is>
      </c>
      <c r="N12" s="5" t="inlineStr">
        <is>
          <t>non</t>
        </is>
      </c>
      <c r="O12" s="5" t="inlineStr">
        <is>
          <t>retenir_variante</t>
        </is>
      </c>
      <c r="P12" s="5" t="inlineStr">
        <is>
          <t>Seuil de pauvreté de l'OCDE (How's Life 1_4) et du Doughnut, publié sans rupture de 1996 à 2024 (25 points), substituable au taux à 60 %, principal de la famille.</t>
        </is>
      </c>
      <c r="Q12" s="5" t="inlineStr">
        <is>
          <t>retenu</t>
        </is>
      </c>
      <c r="R12" s="7" t="inlineStr"/>
      <c r="S12" s="7" t="inlineStr"/>
    </row>
    <row r="13" ht="60" customHeight="1">
      <c r="A13" s="5" t="inlineStr">
        <is>
          <t>pauvrete_persistante</t>
        </is>
      </c>
      <c r="B13" s="6" t="inlineStr">
        <is>
          <t>pauvrete_persistante</t>
        </is>
      </c>
      <c r="C13" s="5" t="inlineStr">
        <is>
          <t>Taux de pauvreté persistante</t>
        </is>
      </c>
      <c r="D13" s="5" t="inlineStr">
        <is>
          <t>oui</t>
        </is>
      </c>
      <c r="E13" s="5" t="inlineStr">
        <is>
          <t>Part des personnes dont le revenu disponible équivalent est inférieur au seuil de pauvreté (60 % du médian) l'année courante et au moins deux des trois années précédentes (volet longitudinal d'EU-SILC).</t>
        </is>
      </c>
      <c r="F13" s="5" t="inlineStr">
        <is>
          <t>bas</t>
        </is>
      </c>
      <c r="G13" s="5" t="inlineStr">
        <is>
          <t>% de la population</t>
        </is>
      </c>
      <c r="H13" s="5" t="inlineStr">
        <is>
          <t>Eurostat — ilc_li21 (taux de risque persistant de pauvreté, enquêtes EU-SILC)</t>
        </is>
      </c>
      <c r="I13" s="5" t="inlineStr">
        <is>
          <t>ilc_li21?freq=A&amp;statinfo=MED_EI&amp;rskpovth=B_60&amp;sex=T&amp;age=TOTAL&amp;unit=PC&amp;geo=FR</t>
        </is>
      </c>
      <c r="J13" s="5" t="inlineStr">
        <is>
          <t>2007-2025 (16 points, annuelle)</t>
        </is>
      </c>
      <c r="K13" s="5" t="inlineStr">
        <is>
          <t>resultat</t>
        </is>
      </c>
      <c r="L13" s="5" t="inlineStr">
        <is>
          <t>non</t>
        </is>
      </c>
      <c r="M13" s="5" t="inlineStr">
        <is>
          <t>non</t>
        </is>
      </c>
      <c r="N13" s="5" t="inlineStr">
        <is>
          <t>non</t>
        </is>
      </c>
      <c r="O13" s="5" t="inlineStr">
        <is>
          <t>retenir</t>
        </is>
      </c>
      <c r="P13" s="5" t="inlineStr">
        <is>
          <t>Seule mesure de la durée de la pauvreté, annuelle sur 2007 et 2011-2025 (16 points depuis 2000), concept distinct du taux annuel.</t>
        </is>
      </c>
      <c r="Q13" s="5" t="inlineStr">
        <is>
          <t>retenu</t>
        </is>
      </c>
      <c r="R13" s="7" t="inlineStr"/>
      <c r="S13" s="7" t="inlineStr"/>
    </row>
    <row r="14" ht="60" customHeight="1">
      <c r="A14" s="5" t="inlineStr">
        <is>
          <t>pauvrete_subjective</t>
        </is>
      </c>
      <c r="B14" s="6" t="inlineStr">
        <is>
          <t>difficulte_joindre_deux_bouts</t>
        </is>
      </c>
      <c r="C14" s="5" t="inlineStr">
        <is>
          <t>Difficulté à joindre les deux bouts (pauvreté subjective)</t>
        </is>
      </c>
      <c r="D14" s="5" t="inlineStr">
        <is>
          <t>oui</t>
        </is>
      </c>
      <c r="E14" s="5" t="inlineStr">
        <is>
          <t>Part des personnes vivant dans un ménage qui déclare arriver à joindre les deux bouts « avec difficulté » ou « avec grande difficulté » (EU-SILC, indicateur de pauvreté subjective).</t>
        </is>
      </c>
      <c r="F14" s="5" t="inlineStr">
        <is>
          <t>bas</t>
        </is>
      </c>
      <c r="G14" s="5" t="inlineStr">
        <is>
          <t>% de la population</t>
        </is>
      </c>
      <c r="H14" s="5" t="inlineStr">
        <is>
          <t>Eurostat — ilc_sbjp01 (pauvreté subjective par âge et sexe, EU-SILC)</t>
        </is>
      </c>
      <c r="I14" s="5" t="inlineStr">
        <is>
          <t>ilc_sbjp01?freq=A&amp;age=TOTAL&amp;sex=T&amp;unit=PC&amp;geo=FR</t>
        </is>
      </c>
      <c r="J14" s="5" t="inlineStr">
        <is>
          <t>2010-2025 (16 points, annuelle)</t>
        </is>
      </c>
      <c r="K14" s="5" t="inlineStr">
        <is>
          <t>resultat</t>
        </is>
      </c>
      <c r="L14" s="5" t="inlineStr">
        <is>
          <t>oui</t>
        </is>
      </c>
      <c r="M14" s="5" t="inlineStr">
        <is>
          <t>non</t>
        </is>
      </c>
      <c r="N14" s="5" t="inlineStr">
        <is>
          <t>non</t>
        </is>
      </c>
      <c r="O14" s="5" t="inlineStr">
        <is>
          <t>retenir</t>
        </is>
      </c>
      <c r="P14" s="5" t="inlineStr">
        <is>
          <t>Indicateur du cadre Qualité de vie d'Eurostat et de l'OCDE (How's Life 1_5), annuel de 2010 à 2025 (16 points) et raccordable jusqu'en 2004 par sa décomposition publiée.</t>
        </is>
      </c>
      <c r="Q14" s="5" t="inlineStr">
        <is>
          <t>retenu</t>
        </is>
      </c>
      <c r="R14" s="7" t="inlineStr"/>
      <c r="S14" s="7" t="inlineStr"/>
    </row>
    <row r="15" ht="60" customHeight="1">
      <c r="A15" s="5" t="inlineStr">
        <is>
          <t>pauvrete_subjective</t>
        </is>
      </c>
      <c r="B15" s="5" t="inlineStr">
        <is>
          <t>pauvrete_ressentie</t>
        </is>
      </c>
      <c r="C15" s="5" t="inlineStr">
        <is>
          <t>Part des personnes se considérant comme pauvres (pauvreté ressentie)</t>
        </is>
      </c>
      <c r="D15" s="5" t="inlineStr">
        <is>
          <t>non</t>
        </is>
      </c>
      <c r="E15" s="5" t="inlineStr">
        <is>
          <t>Part des personnes interrogées par le baromètre d'opinion de la DREES qui répondent « je me considère déjà comme pauvre » à la question PE03 (« pensez-vous qu'il y a un risque que vous deveniez pauvre dans les cinq …</t>
        </is>
      </c>
      <c r="F15" s="5" t="inlineStr">
        <is>
          <t>bas</t>
        </is>
      </c>
      <c r="G15" s="5" t="inlineStr">
        <is>
          <t>% des répondants</t>
        </is>
      </c>
      <c r="H15" s="5" t="inlineStr">
        <is>
          <t>DREES — Baromètre d'opinion de la DREES (data.drees, jeu 431_le-barometre-d-opinion), microdonnées pondérées</t>
        </is>
      </c>
      <c r="I15" s="5" t="inlineStr">
        <is>
          <t>data.drees.solidarites-sante.gouv.fr, jeu 431_le-barometre-d-opinion, pièces jointes barometre2000_2024_diff_csv et barometre2025_diff_csv ; variable PE03, modalités 3</t>
        </is>
      </c>
      <c r="J15" s="5" t="inlineStr">
        <is>
          <t>2014-2025 (11 points, annuelle)</t>
        </is>
      </c>
      <c r="K15" s="5" t="inlineStr">
        <is>
          <t>resultat</t>
        </is>
      </c>
      <c r="L15" s="5" t="inlineStr">
        <is>
          <t>oui</t>
        </is>
      </c>
      <c r="M15" s="5" t="inlineStr">
        <is>
          <t>non</t>
        </is>
      </c>
      <c r="N15" s="5" t="inlineStr">
        <is>
          <t>non</t>
        </is>
      </c>
      <c r="O15" s="5" t="inlineStr">
        <is>
          <t>retenir_variante</t>
        </is>
      </c>
      <c r="P15" s="5" t="inlineStr">
        <is>
          <t>Seule mesure de l'auto-identification comme pauvre (DREES, 11 vagues de 2014 à 2025), autre lecture subjective de la pauvreté, substituable à la difficulté à joindre les deux bouts, principale de la famille.</t>
        </is>
      </c>
      <c r="Q15" s="5" t="inlineStr">
        <is>
          <t>retenu</t>
        </is>
      </c>
      <c r="R15" s="7" t="inlineStr"/>
      <c r="S15" s="7" t="inlineStr"/>
    </row>
    <row r="16" ht="60" customHeight="1">
      <c r="A16" s="5" t="inlineStr">
        <is>
          <t>perception_niveau_vie_france</t>
        </is>
      </c>
      <c r="B16" s="6" t="inlineStr">
        <is>
          <t>pauvrete_percue_hausse</t>
        </is>
      </c>
      <c r="C16" s="5" t="inlineStr">
        <is>
          <t>Part des personnes estimant que la pauvreté a augmenté en France depuis cinq ans</t>
        </is>
      </c>
      <c r="D16" s="5" t="inlineStr">
        <is>
          <t>oui</t>
        </is>
      </c>
      <c r="E16" s="5" t="inlineStr">
        <is>
          <t>Part des personnes interrogées par le baromètre d'opinion de la DREES qui répondent que la pauvreté et l'exclusion en France « ont augmenté » depuis cinq ans (question PE01, modalité 2), non-réponses incluses au …</t>
        </is>
      </c>
      <c r="F16" s="5" t="inlineStr">
        <is>
          <t>bas</t>
        </is>
      </c>
      <c r="G16" s="5" t="inlineStr">
        <is>
          <t>% des répondants</t>
        </is>
      </c>
      <c r="H16" s="5" t="inlineStr">
        <is>
          <t>DREES — Baromètre d'opinion de la DREES (data.drees, jeu 431_le-barometre-d-opinion), microdonnées pondérées</t>
        </is>
      </c>
      <c r="I16" s="5" t="inlineStr">
        <is>
          <t>data.drees.solidarites-sante.gouv.fr, jeu 431_le-barometre-d-opinion, pièce jointe barometre2000_2025_diff_csv ; variable PE01, modalité 2</t>
        </is>
      </c>
      <c r="J16" s="5" t="inlineStr">
        <is>
          <t>2000-2025 (25 points, annuelle)</t>
        </is>
      </c>
      <c r="K16" s="5" t="inlineStr">
        <is>
          <t>resultat</t>
        </is>
      </c>
      <c r="L16" s="5" t="inlineStr">
        <is>
          <t>oui</t>
        </is>
      </c>
      <c r="M16" s="5" t="inlineStr">
        <is>
          <t>non</t>
        </is>
      </c>
      <c r="N16" s="5" t="inlineStr">
        <is>
          <t>non</t>
        </is>
      </c>
      <c r="O16" s="5" t="inlineStr">
        <is>
          <t>retenir</t>
        </is>
      </c>
      <c r="P16" s="5" t="inlineStr">
        <is>
          <t>Opinion sur la société (D32) portant sur la pauvreté, posée chaque année depuis 2000 sauf en 2003 (25 vagues), calculée sur microdonnées avec un contrôle de plausibilité sur la publication 2025 (D38 b), principale de la famille des perceptions du niveau de vie en France.</t>
        </is>
      </c>
      <c r="Q16" s="5" t="inlineStr">
        <is>
          <t>retenu</t>
        </is>
      </c>
      <c r="R16" s="7" t="inlineStr"/>
      <c r="S16" s="7" t="inlineStr"/>
    </row>
    <row r="17" ht="60" customHeight="1">
      <c r="A17" s="5" t="inlineStr">
        <is>
          <t>perception_niveau_vie_france</t>
        </is>
      </c>
      <c r="B17" s="5" t="inlineStr">
        <is>
          <t>solde_niveau_vie_france_futur</t>
        </is>
      </c>
      <c r="C17" s="5" t="inlineStr">
        <is>
          <t>Opinion des ménages sur l'évolution future du niveau de vie en France (solde)</t>
        </is>
      </c>
      <c r="D17" s="5" t="inlineStr">
        <is>
          <t>non</t>
        </is>
      </c>
      <c r="E17" s="5" t="inlineStr">
        <is>
          <t>Solde des réponses (part des ménages jugeant que le niveau de vie en France va s'améliorer moins part jugeant qu'il va se détériorer) à la question sur les perspectives d'évolution du niveau de vie en France de …</t>
        </is>
      </c>
      <c r="F17" s="5" t="inlineStr">
        <is>
          <t>haut</t>
        </is>
      </c>
      <c r="G17" s="5" t="inlineStr">
        <is>
          <t>solde d'opinion (points de %)</t>
        </is>
      </c>
      <c r="H17" s="5" t="inlineStr">
        <is>
          <t>INSEE (enquête de conjoncture auprès des ménages) — BDM, enquête mensuelle de conjoncture auprès des ménages (ENQ-CONJ-MENAGES)</t>
        </is>
      </c>
      <c r="I17" s="5" t="inlineStr">
        <is>
          <t>000857177</t>
        </is>
      </c>
      <c r="J17" s="5" t="inlineStr">
        <is>
          <t>1970-2026 (mensuelle)</t>
        </is>
      </c>
      <c r="K17" s="5" t="inlineStr">
        <is>
          <t>resultat</t>
        </is>
      </c>
      <c r="L17" s="5" t="inlineStr">
        <is>
          <t>oui</t>
        </is>
      </c>
      <c r="M17" s="5" t="inlineStr">
        <is>
          <t>non</t>
        </is>
      </c>
      <c r="N17" s="5" t="inlineStr">
        <is>
          <t>non</t>
        </is>
      </c>
      <c r="O17" s="5" t="inlineStr">
        <is>
          <t>retenir_variante</t>
        </is>
      </c>
      <c r="P17" s="5" t="inlineStr">
        <is>
          <t>Solde d'opinion mensuel de l'INSEE depuis 1970 sur les perspectives d'évolution du niveau de vie en France, admis comme variante déclarative par D38 (j), à agréger en moyenne annuelle.</t>
        </is>
      </c>
      <c r="Q17" s="5" t="inlineStr">
        <is>
          <t>retenu</t>
        </is>
      </c>
      <c r="R17" s="7" t="inlineStr"/>
      <c r="S17" s="7" t="inlineStr"/>
    </row>
    <row r="18" ht="60" customHeight="1">
      <c r="A18" s="5" t="inlineStr">
        <is>
          <t>perception_niveau_vie_france</t>
        </is>
      </c>
      <c r="B18" s="5" t="inlineStr">
        <is>
          <t>solde_niveau_vie_france_passe</t>
        </is>
      </c>
      <c r="C18" s="5" t="inlineStr">
        <is>
          <t>Opinion des ménages sur l'évolution passée du niveau de vie en France (solde)</t>
        </is>
      </c>
      <c r="D18" s="5" t="inlineStr">
        <is>
          <t>non</t>
        </is>
      </c>
      <c r="E18" s="5" t="inlineStr">
        <is>
          <t>Solde des réponses (part des ménages jugeant que le niveau de vie en France s'est amélioré moins part jugeant qu'il s'est détérioré) à la question sur l'évolution passée du niveau de vie en France de l'enquête mensuelle …</t>
        </is>
      </c>
      <c r="F18" s="5" t="inlineStr">
        <is>
          <t>haut</t>
        </is>
      </c>
      <c r="G18" s="5" t="inlineStr">
        <is>
          <t>solde d'opinion (points de %)</t>
        </is>
      </c>
      <c r="H18" s="5" t="inlineStr">
        <is>
          <t>INSEE (enquête de conjoncture auprès des ménages) — BDM, enquête mensuelle de conjoncture auprès des ménages (ENQ-CONJ-MENAGES)</t>
        </is>
      </c>
      <c r="I18" s="5" t="inlineStr">
        <is>
          <t>000857176</t>
        </is>
      </c>
      <c r="J18" s="5" t="inlineStr">
        <is>
          <t>1970-2026 (mensuelle)</t>
        </is>
      </c>
      <c r="K18" s="5" t="inlineStr">
        <is>
          <t>resultat</t>
        </is>
      </c>
      <c r="L18" s="5" t="inlineStr">
        <is>
          <t>oui</t>
        </is>
      </c>
      <c r="M18" s="5" t="inlineStr">
        <is>
          <t>non</t>
        </is>
      </c>
      <c r="N18" s="5" t="inlineStr">
        <is>
          <t>non</t>
        </is>
      </c>
      <c r="O18" s="5" t="inlineStr">
        <is>
          <t>retenir_variante</t>
        </is>
      </c>
      <c r="P18" s="5" t="inlineStr">
        <is>
          <t>Solde d'opinion mensuel de l'INSEE depuis 1970 sur l'évolution passée du niveau de vie en France, admis comme variante déclarative par D38 (j), à agréger en moyenne annuelle.</t>
        </is>
      </c>
      <c r="Q18" s="5" t="inlineStr">
        <is>
          <t>retenu</t>
        </is>
      </c>
      <c r="R18" s="7" t="inlineStr"/>
      <c r="S18" s="7" t="inlineStr"/>
    </row>
    <row r="19" ht="60" customHeight="1">
      <c r="A19" s="5" t="inlineStr">
        <is>
          <t>pib_habitant</t>
        </is>
      </c>
      <c r="B19" s="6" t="inlineStr">
        <is>
          <t>pib_habitant</t>
        </is>
      </c>
      <c r="C19" s="5" t="inlineStr">
        <is>
          <t>PIB par habitant en volume</t>
        </is>
      </c>
      <c r="D19" s="5" t="inlineStr">
        <is>
          <t>oui</t>
        </is>
      </c>
      <c r="E19" s="5" t="inlineStr">
        <is>
          <t>Produit intérieur brut rapporté à la population, aux prix de l'année précédente chaînés (euros de l'année de référence 2020 par habitant ; comptes nationaux annuels de l'INSEE, base 2020).</t>
        </is>
      </c>
      <c r="F19" s="5" t="inlineStr">
        <is>
          <t>haut</t>
        </is>
      </c>
      <c r="G19" s="5" t="inlineStr">
        <is>
          <t>euros de 2020 par habitant</t>
        </is>
      </c>
      <c r="H19" s="5" t="inlineStr">
        <is>
          <t>INSEE — BDM, comptes nationaux annuels base 2020 (série 011779993)</t>
        </is>
      </c>
      <c r="I19" s="5" t="inlineStr">
        <is>
          <t>011779993</t>
        </is>
      </c>
      <c r="J19" s="5" t="inlineStr">
        <is>
          <t>1949-2025 (26 points, annuelle)</t>
        </is>
      </c>
      <c r="K19" s="5" t="inlineStr">
        <is>
          <t>resultat</t>
        </is>
      </c>
      <c r="L19" s="5" t="inlineStr">
        <is>
          <t>non</t>
        </is>
      </c>
      <c r="M19" s="5" t="inlineStr">
        <is>
          <t>non</t>
        </is>
      </c>
      <c r="N19" s="5" t="inlineStr">
        <is>
          <t>non</t>
        </is>
      </c>
      <c r="O19" s="5" t="inlineStr">
        <is>
          <t>retenir</t>
        </is>
      </c>
      <c r="P19" s="5" t="inlineStr">
        <is>
          <t>Indicateur ordinaire de la dimension par décision du gel 1 (A12, R7), série de l'INSEE de 1949 à 2025 (26 points depuis 2000), INSEE préféré à Eurostat (sdg_08_10, en variante) à définition égale.</t>
        </is>
      </c>
      <c r="Q19" s="5" t="inlineStr">
        <is>
          <t>retenu</t>
        </is>
      </c>
      <c r="R19" s="7" t="inlineStr"/>
      <c r="S19" s="7" t="inlineStr"/>
    </row>
    <row r="20" ht="60" customHeight="1">
      <c r="A20" s="5" t="inlineStr">
        <is>
          <t>pib_habitant</t>
        </is>
      </c>
      <c r="B20" s="5" t="inlineStr">
        <is>
          <t>indice_developpement_humain</t>
        </is>
      </c>
      <c r="C20" s="5" t="inlineStr">
        <is>
          <t>Indice de développement humain (IDH)</t>
        </is>
      </c>
      <c r="D20" s="5" t="inlineStr">
        <is>
          <t>non</t>
        </is>
      </c>
      <c r="E20" s="5" t="inlineStr">
        <is>
          <t>Moyenne géométrique de trois indices normalisés : espérance de vie à la naissance, durée de scolarisation (attendue et moyenne) et revenu national brut par habitant en parité de pouvoir d'achat (PNUD).</t>
        </is>
      </c>
      <c r="F20" s="5" t="inlineStr">
        <is>
          <t>haut</t>
        </is>
      </c>
      <c r="G20" s="5" t="inlineStr">
        <is>
          <t>indice de 0 à 1</t>
        </is>
      </c>
      <c r="H20" s="5" t="inlineStr">
        <is>
          <t>PNUD — Rapport sur le développement humain 2025, séries composites (fichier CSV, colonnes hdi_&lt;année&gt;)</t>
        </is>
      </c>
      <c r="I20" s="5" t="inlineStr">
        <is>
          <t>https://hdr.undp.org/sites/default/files/2025_HDR/HDR25_Composite_indices_complete_time_series.csv (colonnes hdi_&lt;année&gt;)</t>
        </is>
      </c>
      <c r="J20" s="5" t="inlineStr">
        <is>
          <t>1990-2023 (24 points, annuelle)</t>
        </is>
      </c>
      <c r="K20" s="5" t="inlineStr">
        <is>
          <t>resultat</t>
        </is>
      </c>
      <c r="L20" s="5" t="inlineStr">
        <is>
          <t>non</t>
        </is>
      </c>
      <c r="M20" s="5" t="inlineStr">
        <is>
          <t>oui</t>
        </is>
      </c>
      <c r="N20" s="5" t="inlineStr">
        <is>
          <t>non</t>
        </is>
      </c>
      <c r="O20" s="5" t="inlineStr">
        <is>
          <t>retenir_variante</t>
        </is>
      </c>
      <c r="P20" s="5" t="inlineStr">
        <is>
          <t>Composite santé-éducation-revenu couvrant plusieurs dimensions, rattaché à niveau_de_vie comme alternative au PIB par habitant, au plus en variante et jamais au socle (D38 c), annuel de 1990 à 2023 (24 points depuis 2000).</t>
        </is>
      </c>
      <c r="Q20" s="5" t="inlineStr">
        <is>
          <t>retenu</t>
        </is>
      </c>
      <c r="R20" s="7" t="inlineStr"/>
      <c r="S20" s="7" t="inlineStr"/>
    </row>
    <row r="21" ht="60" customHeight="1">
      <c r="A21" s="5" t="inlineStr">
        <is>
          <t>pib_habitant</t>
        </is>
      </c>
      <c r="B21" s="5" t="inlineStr">
        <is>
          <t>revenu_national_habitant</t>
        </is>
      </c>
      <c r="C21" s="5" t="inlineStr">
        <is>
          <t>Revenu national brut réel par habitant</t>
        </is>
      </c>
      <c r="D21" s="5" t="inlineStr">
        <is>
          <t>non</t>
        </is>
      </c>
      <c r="E21" s="5" t="inlineStr">
        <is>
          <t>Revenu national brut (revenus primaires reçus par les résidents, y compris ceux qui viennent du reste du monde) exprimé en termes réels et rapporté à la population (comptes nationaux de l'INSEE, base 2020).</t>
        </is>
      </c>
      <c r="F21" s="5" t="inlineStr">
        <is>
          <t>haut</t>
        </is>
      </c>
      <c r="G21" s="5" t="inlineStr">
        <is>
          <t>euros par habitant (termes réels selon l'intitulé ; année de référence des prix non trouvée)</t>
        </is>
      </c>
      <c r="H21" s="5" t="inlineStr">
        <is>
          <t>INSEE — Melodi DD_CNA_AGREGATS (comptes nationaux annuels, base 2020), mesure _RNB_REEL_HABITANT</t>
        </is>
      </c>
      <c r="I21" s="5" t="inlineStr">
        <is>
          <t>DD_CNA_AGREGATS?ACCOUNTING_ENTRY=B&amp;ACTIVITY=_T&amp;COUNTERPART_AREA=W0&amp;EXPENDITURE=_Z&amp;FREQ=A&amp;GEO=FRANCE-F&amp;INSTR_ASSET=_Z&amp;PRICES=V&amp;PRODUCT=_T&amp;REF_SECTOR=S1&amp;REF_YEAR_PRICE=&amp;STO=_RNB_REEL_HABITANT&amp;TRANSFORMATION=N&amp;UNIT_MEASURE=XDC</t>
        </is>
      </c>
      <c r="J21" s="5" t="inlineStr">
        <is>
          <t>1949-2025 (26 points, annuelle)</t>
        </is>
      </c>
      <c r="K21" s="5" t="inlineStr">
        <is>
          <t>resultat</t>
        </is>
      </c>
      <c r="L21" s="5" t="inlineStr">
        <is>
          <t>non</t>
        </is>
      </c>
      <c r="M21" s="5" t="inlineStr">
        <is>
          <t>non</t>
        </is>
      </c>
      <c r="N21" s="5" t="inlineStr">
        <is>
          <t>non</t>
        </is>
      </c>
      <c r="O21" s="5" t="inlineStr">
        <is>
          <t>retenir_variante</t>
        </is>
      </c>
      <c r="P21" s="5" t="inlineStr">
        <is>
          <t>Alternative au PIB recommandée par Stiglitz-Sen-Fitoussi (revenu national), publiée par l'INSEE de 1949 à 2025 (26 points), substituable au PIB par habitant, principal de la famille.</t>
        </is>
      </c>
      <c r="Q21" s="5" t="inlineStr">
        <is>
          <t>retenu</t>
        </is>
      </c>
      <c r="R21" s="7" t="inlineStr"/>
      <c r="S21" s="7" t="inlineStr"/>
    </row>
    <row r="22" ht="60" customHeight="1">
      <c r="A22" s="5" t="inlineStr">
        <is>
          <t>privation_alimentaire</t>
        </is>
      </c>
      <c r="B22" s="6" t="inlineStr">
        <is>
          <t>privation_alimentaire</t>
        </is>
      </c>
      <c r="C22" s="5" t="inlineStr">
        <is>
          <t>Ne pas avoir les moyens d'un repas avec viande, poisson ou équivalent un jour sur deux</t>
        </is>
      </c>
      <c r="D22" s="5" t="inlineStr">
        <is>
          <t>oui</t>
        </is>
      </c>
      <c r="E22" s="5" t="inlineStr">
        <is>
          <t>Part des personnes vivant dans un ménage qui n'a pas les moyens de s'offrir un repas comportant de la viande, du poulet ou du poisson (ou un équivalent végétarien) au moins un jour sur deux (EU-SILC, élément de la …</t>
        </is>
      </c>
      <c r="F22" s="5" t="inlineStr">
        <is>
          <t>bas</t>
        </is>
      </c>
      <c r="G22" s="5" t="inlineStr">
        <is>
          <t>% de la population</t>
        </is>
      </c>
      <c r="H22" s="5" t="inlineStr">
        <is>
          <t>Eurostat — ilc_mdes03 (incapacité à s'offrir un repas comportant de la viande, du poulet ou du poisson un jour sur deux, enquêtes EU-SILC), ensemble des ménages</t>
        </is>
      </c>
      <c r="I22" s="5" t="inlineStr">
        <is>
          <t>ilc_mdes03?freq=A&amp;hhcomp=TOTAL&amp;rskpovth=TOTAL&amp;unit=PC&amp;geo=FR</t>
        </is>
      </c>
      <c r="J22" s="5" t="inlineStr">
        <is>
          <t>2004-2025 (22 points, annuelle)</t>
        </is>
      </c>
      <c r="K22" s="5" t="inlineStr">
        <is>
          <t>resultat</t>
        </is>
      </c>
      <c r="L22" s="5" t="inlineStr">
        <is>
          <t>non</t>
        </is>
      </c>
      <c r="M22" s="5" t="inlineStr">
        <is>
          <t>non</t>
        </is>
      </c>
      <c r="N22" s="5" t="inlineStr">
        <is>
          <t>non</t>
        </is>
      </c>
      <c r="O22" s="5" t="inlineStr">
        <is>
          <t>retenir</t>
        </is>
      </c>
      <c r="P22" s="5" t="inlineStr">
        <is>
          <t>Seule mesure annuelle de l'accès à l'alimentation (A2), publiée par Eurostat de 2004 à 2025 (22 points), plus longue de 6 ans et plus fraîche d'un an que l'indicateur ODD 2.i1 de l'INSEE, dont elle ne s'écarte pas de plus de 0,2 point sur 2010-2024 (méthode §4).</t>
        </is>
      </c>
      <c r="Q22" s="5" t="inlineStr">
        <is>
          <t>retenu</t>
        </is>
      </c>
      <c r="R22" s="7" t="inlineStr"/>
      <c r="S22" s="7" t="inlineStr"/>
    </row>
    <row r="23" ht="60" customHeight="1">
      <c r="A23" s="5" t="inlineStr">
        <is>
          <t>privation_materielle_sociale</t>
        </is>
      </c>
      <c r="B23" s="6" t="inlineStr">
        <is>
          <t>privation_materielle_sociale</t>
        </is>
      </c>
      <c r="C23" s="5" t="inlineStr">
        <is>
          <t>Taux de privation matérielle et sociale</t>
        </is>
      </c>
      <c r="D23" s="5" t="inlineStr">
        <is>
          <t>oui</t>
        </is>
      </c>
      <c r="E23" s="5" t="inlineStr">
        <is>
          <t>Part des personnes qui déclarent au moins 5 privations parmi 13 (7 relatives au ménage, 6 à la personne : faire face à une dépense imprévue, une semaine de vacances, un repas avec viande ou poisson un jour sur deux, …</t>
        </is>
      </c>
      <c r="F23" s="5" t="inlineStr">
        <is>
          <t>bas</t>
        </is>
      </c>
      <c r="G23" s="5" t="inlineStr">
        <is>
          <t>% de la population</t>
        </is>
      </c>
      <c r="H23" s="5" t="inlineStr">
        <is>
          <t>INSEE — BDM, indicateurs ODD (ODD-ERADICATION-PAUVRETE), indicateur 1.i2 et indicateur de richesse nationale n° 7</t>
        </is>
      </c>
      <c r="I23" s="5" t="inlineStr">
        <is>
          <t>010594486</t>
        </is>
      </c>
      <c r="J23" s="5" t="inlineStr">
        <is>
          <t>2013-2024 (12 points, annuelle)</t>
        </is>
      </c>
      <c r="K23" s="5" t="inlineStr">
        <is>
          <t>resultat</t>
        </is>
      </c>
      <c r="L23" s="5" t="inlineStr">
        <is>
          <t>non</t>
        </is>
      </c>
      <c r="M23" s="5" t="inlineStr">
        <is>
          <t>non</t>
        </is>
      </c>
      <c r="N23" s="5" t="inlineStr">
        <is>
          <t>oui</t>
        </is>
      </c>
      <c r="O23" s="5" t="inlineStr">
        <is>
          <t>retenir</t>
        </is>
      </c>
      <c r="P23" s="5" t="inlineStr">
        <is>
          <t>Concept présent dans trois cadres (Stiglitz-Sen-Fitoussi, Eurostat, INSEE ; §5 du crosswalk), indicateur de richesse nationale n° 7, publié par l'INSEE de 2013 à 2024 (12 points), INSEE préféré à Eurostat à définition égale.</t>
        </is>
      </c>
      <c r="Q23" s="5" t="inlineStr">
        <is>
          <t>retenu_socle</t>
        </is>
      </c>
      <c r="R23" s="7" t="inlineStr"/>
      <c r="S23" s="7" t="inlineStr"/>
    </row>
    <row r="24" ht="60" customHeight="1">
      <c r="A24" s="5" t="inlineStr">
        <is>
          <t>privation_materielle_sociale</t>
        </is>
      </c>
      <c r="B24" s="5" t="inlineStr">
        <is>
          <t>privation_materielle_sociale_severe</t>
        </is>
      </c>
      <c r="C24" s="5" t="inlineStr">
        <is>
          <t>Taux de privation matérielle et sociale sévère</t>
        </is>
      </c>
      <c r="D24" s="5" t="inlineStr">
        <is>
          <t>non</t>
        </is>
      </c>
      <c r="E24" s="5" t="inlineStr">
        <is>
          <t>Part des personnes qui déclarent au moins 7 privations parmi les 13 éléments de la privation matérielle et sociale (EU-SILC).</t>
        </is>
      </c>
      <c r="F24" s="5" t="inlineStr">
        <is>
          <t>bas</t>
        </is>
      </c>
      <c r="G24" s="5" t="inlineStr">
        <is>
          <t>% de la population</t>
        </is>
      </c>
      <c r="H24" s="5" t="inlineStr">
        <is>
          <t>Eurostat — ilc_mdsd11 (taux de privation matérielle et sociale sévère par âge et sexe ; doublon ODD sdg_01_31)</t>
        </is>
      </c>
      <c r="I24" s="5" t="inlineStr">
        <is>
          <t>ilc_mdsd11?freq=A&amp;age=TOTAL&amp;sex=T&amp;unit=PC&amp;geo=FR</t>
        </is>
      </c>
      <c r="J24" s="5" t="inlineStr">
        <is>
          <t>2015-2025 (11 points, annuelle)</t>
        </is>
      </c>
      <c r="K24" s="5" t="inlineStr">
        <is>
          <t>resultat</t>
        </is>
      </c>
      <c r="L24" s="5" t="inlineStr">
        <is>
          <t>non</t>
        </is>
      </c>
      <c r="M24" s="5" t="inlineStr">
        <is>
          <t>non</t>
        </is>
      </c>
      <c r="N24" s="5" t="inlineStr">
        <is>
          <t>non</t>
        </is>
      </c>
      <c r="O24" s="5" t="inlineStr">
        <is>
          <t>retenir_variante</t>
        </is>
      </c>
      <c r="P24" s="5" t="inlineStr">
        <is>
          <t>Composante de l'AROPE et indicateur ODD européen (sdg_01_31), annuel de 2015 à 2025 (11 points), lecture « privation grave » substituable au taux à 5 privations, principal de la famille.</t>
        </is>
      </c>
      <c r="Q24" s="5" t="inlineStr">
        <is>
          <t>retenu</t>
        </is>
      </c>
      <c r="R24" s="7" t="inlineStr"/>
      <c r="S24" s="7" t="inlineStr"/>
    </row>
    <row r="25" ht="60" customHeight="1">
      <c r="A25" s="5" t="inlineStr">
        <is>
          <t>revenu_disponible_menages</t>
        </is>
      </c>
      <c r="B25" s="6" t="inlineStr">
        <is>
          <t>revenu_disponible_ajuste_habitant</t>
        </is>
      </c>
      <c r="C25" s="5" t="inlineStr">
        <is>
          <t>Revenu disponible brut ajusté des ménages par habitant, en termes réels</t>
        </is>
      </c>
      <c r="D25" s="5" t="inlineStr">
        <is>
          <t>oui</t>
        </is>
      </c>
      <c r="E25" s="5" t="inlineStr">
        <is>
          <t>Revenu disponible brut des ménages et des institutions sans but lucratif à leur service, augmenté des transferts sociaux en nature (santé, éducation, logement social…), rapporté à la population et exprimé en termes …</t>
        </is>
      </c>
      <c r="F25" s="5" t="inlineStr">
        <is>
          <t>haut</t>
        </is>
      </c>
      <c r="G25" s="5" t="inlineStr">
        <is>
          <t>euros réels par habitant</t>
        </is>
      </c>
      <c r="H25" s="5" t="inlineStr">
        <is>
          <t>Eurostat — nasa_10_nf_tr (opérations non financières des comptes de secteur), na_item B7G_R_HAB, secteur S14_S15</t>
        </is>
      </c>
      <c r="I25" s="5" t="inlineStr">
        <is>
          <t>nasa_10_nf_tr?freq=A&amp;unit=CP_MNAC&amp;direct=RECV&amp;na_item=B7G_R_HAB&amp;sector=S14_S15&amp;geo=FR</t>
        </is>
      </c>
      <c r="J25" s="5" t="inlineStr">
        <is>
          <t>2000-2024 (25 points, annuelle)</t>
        </is>
      </c>
      <c r="K25" s="5" t="inlineStr">
        <is>
          <t>resultat</t>
        </is>
      </c>
      <c r="L25" s="5" t="inlineStr">
        <is>
          <t>non</t>
        </is>
      </c>
      <c r="M25" s="5" t="inlineStr">
        <is>
          <t>non</t>
        </is>
      </c>
      <c r="N25" s="5" t="inlineStr">
        <is>
          <t>oui</t>
        </is>
      </c>
      <c r="O25" s="5" t="inlineStr">
        <is>
          <t>retenir</t>
        </is>
      </c>
      <c r="P25" s="5" t="inlineStr">
        <is>
          <t>Concept retenu par Stiglitz-Sen-Fitoussi, l'OCDE (1_1) et Eurostat (« revenu disponible des ménages », §5 du crosswalk) et seule série des catalogues en niveau réel par habitant, annuelle de 2000 à 2024 (25 points).</t>
        </is>
      </c>
      <c r="Q25" s="5" t="inlineStr">
        <is>
          <t>retenu_socle</t>
        </is>
      </c>
      <c r="R25" s="7" t="inlineStr"/>
      <c r="S25" s="7" t="inlineStr"/>
    </row>
    <row r="26" ht="60" customHeight="1">
      <c r="A26" s="5" t="inlineStr">
        <is>
          <t>revenu_disponible_menages</t>
        </is>
      </c>
      <c r="B26" s="5" t="inlineStr">
        <is>
          <t>pouvoir_achat_uc</t>
        </is>
      </c>
      <c r="C26" s="5" t="inlineStr">
        <is>
          <t>Évolution du pouvoir d'achat du revenu disponible brut par unité de consommation</t>
        </is>
      </c>
      <c r="D26" s="5" t="inlineStr">
        <is>
          <t>non</t>
        </is>
      </c>
      <c r="E26" s="5" t="inlineStr">
        <is>
          <t>Taux de variation annuel, en volume, du revenu disponible brut des ménages rapporté au nombre d'unités de consommation, déflaté par le prix de la dépense de consommation des ménages (comptes nationaux de l'INSEE, base …</t>
        </is>
      </c>
      <c r="F26" s="5" t="inlineStr">
        <is>
          <t>haut</t>
        </is>
      </c>
      <c r="G26" s="5" t="inlineStr">
        <is>
          <t>% (évolution annuelle)</t>
        </is>
      </c>
      <c r="H26" s="5" t="inlineStr">
        <is>
          <t>INSEE — Melodi DD_CNA_AGREGATS (comptes nationaux annuels, base 2020), mesure _PAM_UC</t>
        </is>
      </c>
      <c r="I26" s="5" t="inlineStr">
        <is>
          <t>DD_CNA_AGREGATS?ACCOUNTING_ENTRY=_Z&amp;ACTIVITY=_T&amp;COUNTERPART_AREA=W0&amp;EXPENDITURE=_Z&amp;FREQ=A&amp;GEO=FRANCE-F&amp;INSTR_ASSET=_Z&amp;PRICES=V&amp;PRODUCT=_T&amp;REF_SECTOR=S14&amp;REF_YEAR_PRICE=&amp;STO=_PAM_UC&amp;TRANSFORMATION=GY&amp;UNIT_MEASURE=PT</t>
        </is>
      </c>
      <c r="J26" s="5" t="inlineStr">
        <is>
          <t>1960-2025 (26 points, annuelle)</t>
        </is>
      </c>
      <c r="K26" s="5" t="inlineStr">
        <is>
          <t>resultat</t>
        </is>
      </c>
      <c r="L26" s="5" t="inlineStr">
        <is>
          <t>non</t>
        </is>
      </c>
      <c r="M26" s="5" t="inlineStr">
        <is>
          <t>non</t>
        </is>
      </c>
      <c r="N26" s="5" t="inlineStr">
        <is>
          <t>non</t>
        </is>
      </c>
      <c r="O26" s="5" t="inlineStr">
        <is>
          <t>retenir_variante</t>
        </is>
      </c>
      <c r="P26" s="5" t="inlineStr">
        <is>
          <t>Mesure de référence du débat public sur le pouvoir d'achat (INSEE, 1960-2025, 26 points depuis 2000), gardée à côté du niveau réel par habitant parce qu'elle se lit en évolution.</t>
        </is>
      </c>
      <c r="Q26" s="5" t="inlineStr">
        <is>
          <t>retenu</t>
        </is>
      </c>
      <c r="R26" s="7" t="inlineStr"/>
      <c r="S26" s="7" t="inlineStr"/>
    </row>
    <row r="27" ht="60" customHeight="1">
      <c r="A27" s="5" t="inlineStr">
        <is>
          <t>satisfaction_situation_financiere</t>
        </is>
      </c>
      <c r="B27" s="6" t="inlineStr">
        <is>
          <t>satisfaction_situation_financiere</t>
        </is>
      </c>
      <c r="C27" s="5" t="inlineStr">
        <is>
          <t>Satisfaction à l'égard de la situation financière du ménage</t>
        </is>
      </c>
      <c r="D27" s="5" t="inlineStr">
        <is>
          <t>oui</t>
        </is>
      </c>
      <c r="E27" s="5" t="inlineStr">
        <is>
          <t>Note moyenne (de 0 à 10) donnée par les personnes de 16 ans ou plus à leur satisfaction concernant la situation financière de leur ménage (module bien-être d'EU-SILC).</t>
        </is>
      </c>
      <c r="F27" s="5" t="inlineStr">
        <is>
          <t>haut</t>
        </is>
      </c>
      <c r="G27" s="5" t="inlineStr">
        <is>
          <t>note de 0 à 10</t>
        </is>
      </c>
      <c r="H27" s="5" t="inlineStr">
        <is>
          <t>Eurostat — ilc_pw01b (satisfaction de la vie par domaine, modalité FIN), module ad hoc d'EU-SILC</t>
        </is>
      </c>
      <c r="I27" s="5" t="inlineStr">
        <is>
          <t>ilc_pw01b?freq=A&amp;life_sat=FIN&amp;statinfo=AVG&amp;isced11=TOTAL&amp;sex=T&amp;age=Y_GE16&amp;unit=RTG&amp;geo=FR</t>
        </is>
      </c>
      <c r="J27" s="5" t="inlineStr">
        <is>
          <t>2013-2022 (3 points, irreguliere)</t>
        </is>
      </c>
      <c r="K27" s="5" t="inlineStr">
        <is>
          <t>resultat</t>
        </is>
      </c>
      <c r="L27" s="5" t="inlineStr">
        <is>
          <t>oui</t>
        </is>
      </c>
      <c r="M27" s="5" t="inlineStr">
        <is>
          <t>non</t>
        </is>
      </c>
      <c r="N27" s="5" t="inlineStr">
        <is>
          <t>non</t>
        </is>
      </c>
      <c r="O27" s="5" t="inlineStr">
        <is>
          <t>retenir</t>
        </is>
      </c>
      <c r="P27" s="5" t="inlineStr">
        <is>
          <t>Satisfaction du domaine « niveau de vie » (R4) retenue par le cadre Qualité de vie d'Eurostat, publiée en 2013, 2018 et 2022, série pluriannuelle admise (D17, D28 : écart moyen de 4,5 ans).</t>
        </is>
      </c>
      <c r="Q27" s="5" t="inlineStr">
        <is>
          <t>retenu</t>
        </is>
      </c>
      <c r="R27" s="7" t="inlineStr"/>
      <c r="S27" s="7" t="inlineStr"/>
    </row>
    <row r="28" ht="60" customHeight="1">
      <c r="A28" s="5" t="inlineStr">
        <is>
          <t>taux_epargne_menages</t>
        </is>
      </c>
      <c r="B28" s="6" t="inlineStr">
        <is>
          <t>taux_epargne_menages</t>
        </is>
      </c>
      <c r="C28" s="5" t="inlineStr">
        <is>
          <t>Taux d'épargne des ménages</t>
        </is>
      </c>
      <c r="D28" s="5" t="inlineStr">
        <is>
          <t>oui</t>
        </is>
      </c>
      <c r="E28" s="5" t="inlineStr">
        <is>
          <t>Part du revenu disponible brut des ménages qui n'est pas consacrée à la consommation (épargne brute / revenu disponible brut, comptes nationaux de l'INSEE, base 2020).</t>
        </is>
      </c>
      <c r="F28" s="5" t="inlineStr">
        <is>
          <t>ambigu</t>
        </is>
      </c>
      <c r="G28" s="5" t="inlineStr">
        <is>
          <t>% du revenu disponible brut</t>
        </is>
      </c>
      <c r="H28" s="5" t="inlineStr">
        <is>
          <t>INSEE — Melodi DD_CNA_AGREGATS (comptes nationaux annuels, base 2020), mesure _TEM</t>
        </is>
      </c>
      <c r="I28" s="5" t="inlineStr">
        <is>
          <t>DD_CNA_AGREGATS?ACCOUNTING_ENTRY=_Z&amp;ACTIVITY=_T&amp;COUNTERPART_AREA=W0&amp;EXPENDITURE=_Z&amp;FREQ=A&amp;GEO=FRANCE-F&amp;INSTR_ASSET=_Z&amp;PRICES=V&amp;PRODUCT=_T&amp;REF_SECTOR=S14&amp;REF_YEAR_PRICE=&amp;STO=_TEM&amp;TRANSFORMATION=N&amp;UNIT_MEASURE=PT</t>
        </is>
      </c>
      <c r="J28" s="5" t="inlineStr">
        <is>
          <t>1949-2025 (26 points, annuelle)</t>
        </is>
      </c>
      <c r="K28" s="5" t="inlineStr">
        <is>
          <t>resultat</t>
        </is>
      </c>
      <c r="L28" s="5" t="inlineStr">
        <is>
          <t>non</t>
        </is>
      </c>
      <c r="M28" s="5" t="inlineStr">
        <is>
          <t>non</t>
        </is>
      </c>
      <c r="N28" s="5" t="inlineStr">
        <is>
          <t>non</t>
        </is>
      </c>
      <c r="O28" s="5" t="inlineStr">
        <is>
          <t>ecarter</t>
        </is>
      </c>
      <c r="P28" s="5" t="inlineStr">
        <is>
          <t>Sens ambigu : le taux bondit quand la consommation est contrainte (20,03 % en 2020 contre 14,24 % en 2019 pour les ménages et les ISBLSM selon Eurostat, confinements) aussi bien que quand les ménages s'enrichissent.</t>
        </is>
      </c>
      <c r="Q28" s="5" t="inlineStr">
        <is>
          <t>ecarte</t>
        </is>
      </c>
      <c r="R28" s="7" t="inlineStr"/>
      <c r="S28" s="7" t="inlineStr"/>
    </row>
  </sheetData>
  <autoFilter ref="A1:S28"/>
  <conditionalFormatting sqref="A2:S28">
    <cfRule type="expression" priority="1" dxfId="0">
      <formula>$R2&lt;&gt;""</formula>
    </cfRule>
  </conditionalFormatting>
  <dataValidations count="1">
    <dataValidation sqref="R2:R28" showDropDown="0" showInputMessage="0" showErrorMessage="1" allowBlank="1" errorTitle="Valeur non admise" error="Choisissez une valeur dans la liste : retenu, retenu_socle, ecarte, a_discuter" type="list">
      <formula1>"retenu,retenu_socle,ecarte,a_discuter"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0" customWidth="1" min="1" max="1"/>
    <col width="18" customWidth="1" min="2" max="2"/>
  </cols>
  <sheetData>
    <row r="1">
      <c r="A1" s="8" t="inlineStr">
        <is>
          <t>Dimension</t>
        </is>
      </c>
      <c r="B1" s="9" t="inlineStr">
        <is>
          <t>Niveau de vie</t>
        </is>
      </c>
    </row>
    <row r="2">
      <c r="A2" s="8" t="inlineStr">
        <is>
          <t>Indicateurs candidats (fiches)</t>
        </is>
      </c>
      <c r="B2" s="9">
        <f>COUNTA(Validation!$B$2:$B$28)</f>
        <v/>
      </c>
    </row>
    <row r="3">
      <c r="A3" s="8" t="inlineStr">
        <is>
          <t>Familles distinctes</t>
        </is>
      </c>
      <c r="B3" s="9">
        <f>SUMPRODUCT((Validation!$A$2:$A$28&lt;&gt;"")/COUNTIF(Validation!$A$2:$A$28,Validation!$A$2:$A$28&amp;""))</f>
        <v/>
      </c>
    </row>
    <row r="4">
      <c r="A4" s="9" t="inlineStr"/>
      <c r="B4" s="9" t="inlineStr"/>
    </row>
    <row r="5">
      <c r="A5" s="8" t="inlineStr">
        <is>
          <t>Recommandations de l'agent</t>
        </is>
      </c>
      <c r="B5" s="9" t="inlineStr"/>
    </row>
    <row r="6">
      <c r="A6" s="9" t="inlineStr">
        <is>
          <t xml:space="preserve">  retenir</t>
        </is>
      </c>
      <c r="B6" s="9">
        <f>COUNTIF(Validation!$O$2:$O$28,"retenir")</f>
        <v/>
      </c>
    </row>
    <row r="7">
      <c r="A7" s="9" t="inlineStr">
        <is>
          <t xml:space="preserve">  retenir_variante</t>
        </is>
      </c>
      <c r="B7" s="9">
        <f>COUNTIF(Validation!$O$2:$O$28,"retenir_variante")</f>
        <v/>
      </c>
    </row>
    <row r="8">
      <c r="A8" s="9" t="inlineStr">
        <is>
          <t xml:space="preserve">  ecarter</t>
        </is>
      </c>
      <c r="B8" s="9">
        <f>COUNTIF(Validation!$O$2:$O$28,"ecarter")</f>
        <v/>
      </c>
    </row>
    <row r="9">
      <c r="A9" s="9" t="inlineStr"/>
      <c r="B9" s="9" t="inlineStr"/>
    </row>
    <row r="10">
      <c r="A10" s="8" t="inlineStr">
        <is>
          <t>Décisions par défaut</t>
        </is>
      </c>
      <c r="B10" s="9" t="inlineStr"/>
    </row>
    <row r="11">
      <c r="A11" s="9" t="inlineStr">
        <is>
          <t xml:space="preserve">  retenu_socle</t>
        </is>
      </c>
      <c r="B11" s="9">
        <f>COUNTIF(Validation!$Q$2:$Q$28,"retenu_socle")</f>
        <v/>
      </c>
    </row>
    <row r="12">
      <c r="A12" s="9" t="inlineStr">
        <is>
          <t xml:space="preserve">  retenu</t>
        </is>
      </c>
      <c r="B12" s="9">
        <f>COUNTIF(Validation!$Q$2:$Q$28,"retenu")</f>
        <v/>
      </c>
    </row>
    <row r="13">
      <c r="A13" s="9" t="inlineStr">
        <is>
          <t xml:space="preserve">  ecarte</t>
        </is>
      </c>
      <c r="B13" s="9">
        <f>COUNTIF(Validation!$Q$2:$Q$28,"ecarte")</f>
        <v/>
      </c>
    </row>
    <row r="14">
      <c r="A14" s="9" t="inlineStr">
        <is>
          <t xml:space="preserve">  a_discuter</t>
        </is>
      </c>
      <c r="B14" s="9">
        <f>COUNTIF(Validation!$Q$2:$Q$28,"a_discuter")</f>
        <v/>
      </c>
    </row>
    <row r="15">
      <c r="A15" s="9" t="inlineStr"/>
      <c r="B15" s="9" t="inlineStr"/>
    </row>
    <row r="16">
      <c r="A16" s="8" t="inlineStr">
        <is>
          <t>Vos décisions saisies (exceptions)</t>
        </is>
      </c>
      <c r="B16" s="9">
        <f>COUNTA(Validation!$R$2:$R$28)</f>
        <v/>
      </c>
    </row>
    <row r="17">
      <c r="A17" s="9" t="inlineStr">
        <is>
          <t xml:space="preserve">  dont retenu_socle</t>
        </is>
      </c>
      <c r="B17" s="9">
        <f>COUNTIF(Validation!$R$2:$R$28,"retenu_socle")</f>
        <v/>
      </c>
    </row>
    <row r="18">
      <c r="A18" s="9" t="inlineStr">
        <is>
          <t xml:space="preserve">  dont retenu</t>
        </is>
      </c>
      <c r="B18" s="9">
        <f>COUNTIF(Validation!$R$2:$R$28,"retenu")</f>
        <v/>
      </c>
    </row>
    <row r="19">
      <c r="A19" s="9" t="inlineStr">
        <is>
          <t xml:space="preserve">  dont ecarte</t>
        </is>
      </c>
      <c r="B19" s="9">
        <f>COUNTIF(Validation!$R$2:$R$28,"ecarte")</f>
        <v/>
      </c>
    </row>
    <row r="20">
      <c r="A20" s="9" t="inlineStr">
        <is>
          <t xml:space="preserve">  dont a_discuter</t>
        </is>
      </c>
      <c r="B20" s="9">
        <f>COUNTIF(Validation!$R$2:$R$28,"a_discuter")</f>
        <v/>
      </c>
    </row>
    <row r="22">
      <c r="A22" s="10" t="inlineStr">
        <is>
          <t>Les comptes se recalculent à l'ouverture dans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2026-10-16T07:56:46Z</dcterms:created>
  <dcterms:modified xmlns:dcterms="http://purl.org/dc/terms/" xmlns:xsi="http://www.w3.org/2001/XMLSchema-instance" xsi:type="dcterms:W3CDTF">2026-10-16T07:56:46Z</dcterms:modified>
</cp:coreProperties>
</file>