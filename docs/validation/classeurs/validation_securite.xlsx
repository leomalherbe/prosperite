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'Validation'!$A$1:$U$25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T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Gel 2 — validation des indicateurs de la dimension « Sécurité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sous-thème puis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 xml:space="preserve">   « Socle proposé » = oui : l'agent propose de cocher l'indicateur par défaut (décision D41 : les incontournables et une fiche principale par sous-thème de la dimension, 8 au plus) ; sa décision par défaut est alors retenu_socle. L'onglet « Synthèse » compte le socle par sous-thème.</t>
        </is>
      </c>
    </row>
    <row r="7">
      <c r="A7" s="2" t="inlineStr">
        <is>
          <t>3. Ne remplissez la colonne jaune « Votre décision » que là où vous divergez ou hésitez. Valeurs possibles (liste déroulante) :</t>
        </is>
      </c>
    </row>
    <row r="8">
      <c r="A8" s="2" t="inlineStr">
        <is>
          <t xml:space="preserve">     retenu = disponible dans l'outil, non coché par défaut ;</t>
        </is>
      </c>
    </row>
    <row r="9">
      <c r="A9" s="2" t="inlineStr">
        <is>
          <t xml:space="preserve">     retenu_socle = disponible ET coché par défaut dans la configuration de référence ;</t>
        </is>
      </c>
    </row>
    <row r="10">
      <c r="A10" s="2" t="inlineStr">
        <is>
          <t xml:space="preserve">     ecarte = non retenu (indiquez pourquoi dans le commentaire) ;</t>
        </is>
      </c>
    </row>
    <row r="11">
      <c r="A11" s="2" t="inlineStr">
        <is>
          <t xml:space="preserve">     a_discuter = vous voulez en parler avant de trancher (la session mère vous posera la question).</t>
        </is>
      </c>
    </row>
    <row r="12">
      <c r="A12" s="2" t="inlineStr">
        <is>
          <t>4. Le commentaire est libre ; il est lu et conservé dans la fiche.</t>
        </is>
      </c>
    </row>
    <row r="13">
      <c r="A13" s="2" t="inlineStr">
        <is>
          <t>5. Enregistrez le fichier au même endroit, sous le même nom : la session mère le relit automatiquement.</t>
        </is>
      </c>
    </row>
    <row r="14">
      <c r="A14" s="2" t="inlineStr"/>
    </row>
    <row r="15">
      <c r="A15" s="3" t="inlineStr">
        <is>
          <t>Rappels</t>
        </is>
      </c>
    </row>
    <row r="16">
      <c r="A16" s="2" t="inlineStr">
        <is>
          <t>— Une famille regroupe des variantes d'un même concept (autre seuil, autre source, ventilation) : en général une seule variante est cochée par défaut.</t>
        </is>
      </c>
    </row>
    <row r="17">
      <c r="A17" s="2" t="inlineStr">
        <is>
          <t>— Le socle est une proposition : pour l'élargir, mettez retenu_socle sur d'autres lignes ; pour le réduire, mettez retenu sur une ligne proposée.</t>
        </is>
      </c>
    </row>
    <row r="18">
      <c r="A18" s="2" t="inlineStr">
        <is>
          <t>— « Incontournable » = présent dans au moins trois cadres de référence (Doughnut, Stiglitz-Sen-Fitoussi, OCDE, Eurostat, INSEE).</t>
        </is>
      </c>
    </row>
    <row r="19">
      <c r="A19" s="2" t="inlineStr">
        <is>
          <t>— « Déclaratif » = donnée d'enquête d'opinion ou de ressenti ; « Composite » = indice agrégé d'un producteur tiers (V-Dem, CPI…).</t>
        </is>
      </c>
    </row>
    <row r="20">
      <c r="A20" s="2" t="inlineStr">
        <is>
          <t>— Sens « ambigu » : l'agent n'a pas pu établir si plus haut est mieux ; ces lignes sont écartées par défaut.</t>
        </is>
      </c>
    </row>
    <row r="21">
      <c r="A21" s="2" t="inlineStr">
        <is>
          <t>— Les bornes (seuil minimal, objectif) ne sont pas traitées ici : elles viendront après le gel 2 (socle v1).</t>
        </is>
      </c>
    </row>
    <row r="22">
      <c r="A22" s="2" t="inlineStr"/>
    </row>
    <row r="23">
      <c r="A23"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8" customWidth="1" min="3" max="3"/>
    <col width="44" customWidth="1" min="4" max="4"/>
    <col width="11" customWidth="1" min="5" max="5"/>
    <col width="60" customWidth="1" min="6" max="6"/>
    <col width="8" customWidth="1" min="7" max="7"/>
    <col width="18" customWidth="1" min="8" max="8"/>
    <col width="36" customWidth="1" min="9" max="9"/>
    <col width="30" customWidth="1" min="10" max="10"/>
    <col width="22" customWidth="1" min="11" max="11"/>
    <col width="10" customWidth="1" min="12" max="12"/>
    <col width="10" customWidth="1" min="13" max="13"/>
    <col width="10" customWidth="1" min="14" max="14"/>
    <col width="13" customWidth="1" min="15" max="15"/>
    <col width="11" customWidth="1" min="16" max="16"/>
    <col width="16" customWidth="1" min="17" max="17"/>
    <col width="70" customWidth="1" min="18" max="18"/>
    <col width="18" customWidth="1" min="19" max="19"/>
    <col width="20" customWidth="1" min="20" max="20"/>
    <col width="40" customWidth="1" min="21" max="21"/>
  </cols>
  <sheetData>
    <row r="1" ht="42" customHeight="1">
      <c r="A1" s="4" t="inlineStr">
        <is>
          <t>Sous-thème</t>
        </is>
      </c>
      <c r="B1" s="4" t="inlineStr">
        <is>
          <t>Famille</t>
        </is>
      </c>
      <c r="C1" s="4" t="inlineStr">
        <is>
          <t>Identifiant</t>
        </is>
      </c>
      <c r="D1" s="4" t="inlineStr">
        <is>
          <t>Libellé</t>
        </is>
      </c>
      <c r="E1" s="4" t="inlineStr">
        <is>
          <t>Variante principale</t>
        </is>
      </c>
      <c r="F1" s="4" t="inlineStr">
        <is>
          <t>Définition courte</t>
        </is>
      </c>
      <c r="G1" s="4" t="inlineStr">
        <is>
          <t>Sens</t>
        </is>
      </c>
      <c r="H1" s="4" t="inlineStr">
        <is>
          <t>Unité</t>
        </is>
      </c>
      <c r="I1" s="4" t="inlineStr">
        <is>
          <t>Source</t>
        </is>
      </c>
      <c r="J1" s="4" t="inlineStr">
        <is>
          <t>Série (identifiant)</t>
        </is>
      </c>
      <c r="K1" s="4" t="inlineStr">
        <is>
          <t>Période</t>
        </is>
      </c>
      <c r="L1" s="4" t="inlineStr">
        <is>
          <t>Type</t>
        </is>
      </c>
      <c r="M1" s="4" t="inlineStr">
        <is>
          <t>Déclaratif</t>
        </is>
      </c>
      <c r="N1" s="4" t="inlineStr">
        <is>
          <t>Composite</t>
        </is>
      </c>
      <c r="O1" s="4" t="inlineStr">
        <is>
          <t>Incontournable</t>
        </is>
      </c>
      <c r="P1" s="4" t="inlineStr">
        <is>
          <t>Socle proposé</t>
        </is>
      </c>
      <c r="Q1" s="4" t="inlineStr">
        <is>
          <t>Recommandation de l'agent</t>
        </is>
      </c>
      <c r="R1" s="4" t="inlineStr">
        <is>
          <t>Motif de la recommandation</t>
        </is>
      </c>
      <c r="S1" s="4" t="inlineStr">
        <is>
          <t>Décision par défaut (si vous ne remplissez rien)</t>
        </is>
      </c>
      <c r="T1" s="4" t="inlineStr">
        <is>
          <t>Votre décision (liste déroulante)</t>
        </is>
      </c>
      <c r="U1" s="4" t="inlineStr">
        <is>
          <t>Votre commentaire</t>
        </is>
      </c>
    </row>
    <row r="2" ht="60" customHeight="1">
      <c r="A2" s="5" t="inlineStr">
        <is>
          <t>atteintes aux biens</t>
        </is>
      </c>
      <c r="B2" s="5" t="inlineStr">
        <is>
          <t>cambriolages</t>
        </is>
      </c>
      <c r="C2" s="6" t="inlineStr">
        <is>
          <t>cambriolages_logements</t>
        </is>
      </c>
      <c r="D2" s="5" t="inlineStr">
        <is>
          <t>Cambriolages de logements enregistrés (pour 100 000 habitants)</t>
        </is>
      </c>
      <c r="E2" s="5" t="inlineStr">
        <is>
          <t>oui</t>
        </is>
      </c>
      <c r="F2" s="5" t="inlineStr">
        <is>
          <t>Nombre de cambriolages et tentatives de cambriolage de locaux d'habitation privés (catégorie ICCS 05012) enregistrés par la police et la gendarmerie dans l'année, pour 100 000 habitants.</t>
        </is>
      </c>
      <c r="G2" s="5" t="inlineStr">
        <is>
          <t>bas</t>
        </is>
      </c>
      <c r="H2" s="5" t="inlineStr">
        <is>
          <t>infractions pour 100 000 habitants</t>
        </is>
      </c>
      <c r="I2" s="5" t="inlineStr">
        <is>
          <t>Eurostat (données policières transmises par le ministère de l'Intérieur) — crim_off_cat — Infractions enregistrées par la police par type d'infraction</t>
        </is>
      </c>
      <c r="J2" s="5" t="inlineStr">
        <is>
          <t>crim_off_cat?freq=A&amp;iccs=ICCS05012&amp;unit=P_HTHAB&amp;geo=FR</t>
        </is>
      </c>
      <c r="K2" s="5" t="inlineStr">
        <is>
          <t>2008-2024 (14 points, annuelle)</t>
        </is>
      </c>
      <c r="L2" s="5" t="inlineStr">
        <is>
          <t>resultat</t>
        </is>
      </c>
      <c r="M2" s="5" t="inlineStr">
        <is>
          <t>non</t>
        </is>
      </c>
      <c r="N2" s="5" t="inlineStr">
        <is>
          <t>non</t>
        </is>
      </c>
      <c r="O2" s="5" t="inlineStr">
        <is>
          <t>non</t>
        </is>
      </c>
      <c r="P2" s="5" t="inlineStr">
        <is>
          <t>oui</t>
        </is>
      </c>
      <c r="Q2" s="5" t="inlineStr">
        <is>
          <t>retenir</t>
        </is>
      </c>
      <c r="R2" s="5" t="inlineStr">
        <is>
          <t>Cambriolages de logements enregistrés pour 100 000 habitants, 2008-2024 (260 en 2008, 382 en 2013, 295 en 2024), lacune 2017-2019 comblable par la série SSMSI ; environ un ménage victime sur deux porte plainte (44,6 % en 2019 selon l'INSEE, 52,7 % en 2020 selon le SSMSI) et le sens bas repose sur l'hypothèse, non vérifiée, d'un taux de plainte stable.</t>
        </is>
      </c>
      <c r="S2" s="5" t="inlineStr">
        <is>
          <t>retenu_socle</t>
        </is>
      </c>
      <c r="T2" s="7" t="inlineStr">
        <is>
          <t>retenu_socle</t>
        </is>
      </c>
      <c r="U2" s="7" t="inlineStr"/>
    </row>
    <row r="3" ht="60" customHeight="1">
      <c r="A3" s="5" t="inlineStr">
        <is>
          <t>atteintes aux biens</t>
        </is>
      </c>
      <c r="B3" s="5" t="inlineStr">
        <is>
          <t>destructions_degradations</t>
        </is>
      </c>
      <c r="C3" s="6" t="inlineStr">
        <is>
          <t>destructions_degradations</t>
        </is>
      </c>
      <c r="D3" s="5" t="inlineStr">
        <is>
          <t>Destructions et dégradations volontaires enregistrées (pour 100 000 habitants)</t>
        </is>
      </c>
      <c r="E3" s="5" t="inlineStr">
        <is>
          <t>oui</t>
        </is>
      </c>
      <c r="F3" s="5" t="inlineStr">
        <is>
          <t>Nombre de destructions et dégradations volontaires de biens (véhicules, logements, biens publics…) enregistrées par la police et la gendarmerie dans l'année, France entière (base des séries chronologiques du SSMSI), …</t>
        </is>
      </c>
      <c r="G3" s="5" t="inlineStr">
        <is>
          <t>ambigu</t>
        </is>
      </c>
      <c r="H3" s="5" t="inlineStr">
        <is>
          <t>infractions pour 100 000 habitants (à calculer)</t>
        </is>
      </c>
      <c r="I3" s="5" t="inlineStr">
        <is>
          <t>SSMSI (ministère de l'Intérieur) — base des séries chronologiques (data.gouv.fr)</t>
        </is>
      </c>
      <c r="J3" s="5" t="inlineStr">
        <is>
          <t>https://www.data.gouv.fr/fr/datasets/r/631cff69-f0da-4890-b4fc-97aeada1476f (Titre « Destructions et dégradations volontaires (ensemble) enregistrées par les services de sécurité (Données annuelles) » ; Indicateur=Destructions et dégradations volontaires ; Sous_indicateur=Non Renseigné ; Statistique=Nombre ; Zone_geographique=France ; Champ=France ; Periodicite)</t>
        </is>
      </c>
      <c r="K3" s="5" t="inlineStr">
        <is>
          <t>2016-2025 (10 points, annuelle)</t>
        </is>
      </c>
      <c r="L3" s="5" t="inlineStr">
        <is>
          <t>resultat</t>
        </is>
      </c>
      <c r="M3" s="5" t="inlineStr">
        <is>
          <t>non</t>
        </is>
      </c>
      <c r="N3" s="5" t="inlineStr">
        <is>
          <t>non</t>
        </is>
      </c>
      <c r="O3" s="5" t="inlineStr">
        <is>
          <t>non</t>
        </is>
      </c>
      <c r="P3" s="5" t="inlineStr">
        <is>
          <t>non</t>
        </is>
      </c>
      <c r="Q3" s="5" t="inlineStr">
        <is>
          <t>ecarter</t>
        </is>
      </c>
      <c r="R3" s="5" t="inlineStr">
        <is>
          <t>Les destructions et dégradations sont rarement déclarées (taux de plainte de 16,3 % pour celles visant la voiture en 2019 selon l'INSEE, de 9,0 % pour le vandalisme contre le logement en 2018 selon le SSMSI) et aucune enquête vivante ne permet de contrôler la série enregistrée (2016-2025, 10 points) : sens ambigu.</t>
        </is>
      </c>
      <c r="S3" s="5" t="inlineStr">
        <is>
          <t>ecarte</t>
        </is>
      </c>
      <c r="T3" s="7" t="inlineStr"/>
      <c r="U3" s="7" t="inlineStr"/>
    </row>
    <row r="4" ht="60" customHeight="1">
      <c r="A4" s="5" t="inlineStr">
        <is>
          <t>atteintes aux biens</t>
        </is>
      </c>
      <c r="B4" s="5" t="inlineStr">
        <is>
          <t>escroqueries</t>
        </is>
      </c>
      <c r="C4" s="6" t="inlineStr">
        <is>
          <t>escroqueries</t>
        </is>
      </c>
      <c r="D4" s="5" t="inlineStr">
        <is>
          <t>Victimes d'escroqueries et de fraudes aux moyens de paiement enregistrées (pour 100 000 habitants)</t>
        </is>
      </c>
      <c r="E4" s="5" t="inlineStr">
        <is>
          <t>oui</t>
        </is>
      </c>
      <c r="F4" s="5" t="inlineStr">
        <is>
          <t>Nombre de victimes d'escroqueries et de fraudes aux moyens de paiement enregistrées par la police et la gendarmerie dans l'année, France entière (base des séries chronologiques du SSMSI), rapporté à la population …</t>
        </is>
      </c>
      <c r="G4" s="5" t="inlineStr">
        <is>
          <t>ambigu</t>
        </is>
      </c>
      <c r="H4" s="5" t="inlineStr">
        <is>
          <t>victimes pour 100 000 habitants (à calculer)</t>
        </is>
      </c>
      <c r="I4" s="5" t="inlineStr">
        <is>
          <t>SSMSI (ministère de l'Intérieur) — base des séries chronologiques (data.gouv.fr)</t>
        </is>
      </c>
      <c r="J4" s="5" t="inlineStr">
        <is>
          <t>https://www.data.gouv.fr/fr/datasets/r/631cff69-f0da-4890-b4fc-97aeada1476f (Titre « Escroqueries et les fraudes aux moyens de paiements enregistrées par les services de sécurité (Données annuelles) » ; Indicateur=Escroqueries et les fraudes aux moyens de paiements ; Sous_indicateur=Ensemble des lieux ; Statistique=Nombre ; Zone_geographique=France ; Champ=Fran)</t>
        </is>
      </c>
      <c r="K4" s="5" t="inlineStr">
        <is>
          <t>2016-2025 (10 points, annuelle)</t>
        </is>
      </c>
      <c r="L4" s="5" t="inlineStr">
        <is>
          <t>resultat</t>
        </is>
      </c>
      <c r="M4" s="5" t="inlineStr">
        <is>
          <t>non</t>
        </is>
      </c>
      <c r="N4" s="5" t="inlineStr">
        <is>
          <t>non</t>
        </is>
      </c>
      <c r="O4" s="5" t="inlineStr">
        <is>
          <t>non</t>
        </is>
      </c>
      <c r="P4" s="5" t="inlineStr">
        <is>
          <t>non</t>
        </is>
      </c>
      <c r="Q4" s="5" t="inlineStr">
        <is>
          <t>ecarter</t>
        </is>
      </c>
      <c r="R4" s="5" t="inlineStr">
        <is>
          <t>Le taux de plainte des ménages victimes d'escroquerie bancaire n'est que de 12,8 % (2020, enquête CVS, SSMSI) et aucune enquête vivante ne permet de contrôler la série enregistrée (2016-2025, 10 points) : son évolution dépend autant des canaux de signalement que des faits (sens ambigu).</t>
        </is>
      </c>
      <c r="S4" s="5" t="inlineStr">
        <is>
          <t>ecarte</t>
        </is>
      </c>
      <c r="T4" s="7" t="inlineStr"/>
      <c r="U4" s="7" t="inlineStr"/>
    </row>
    <row r="5" ht="60" customHeight="1">
      <c r="A5" s="5" t="inlineStr">
        <is>
          <t>atteintes aux biens</t>
        </is>
      </c>
      <c r="B5" s="5" t="inlineStr">
        <is>
          <t>vols</t>
        </is>
      </c>
      <c r="C5" s="6" t="inlineStr">
        <is>
          <t>vols_sans_violence</t>
        </is>
      </c>
      <c r="D5" s="5" t="inlineStr">
        <is>
          <t>Vols sans violence enregistrés (pour 100 000 habitants)</t>
        </is>
      </c>
      <c r="E5" s="5" t="inlineStr">
        <is>
          <t>oui</t>
        </is>
      </c>
      <c r="F5" s="5" t="inlineStr">
        <is>
          <t>Nombre de vols sans violence (catégorie ICCS 0502 : vols de biens, y compris de véhicules) enregistrés par la police et la gendarmerie dans l'année, pour 100 000 habitants.</t>
        </is>
      </c>
      <c r="G5" s="5" t="inlineStr">
        <is>
          <t>ambigu</t>
        </is>
      </c>
      <c r="H5" s="5" t="inlineStr">
        <is>
          <t>infractions pour 100 000 habitants</t>
        </is>
      </c>
      <c r="I5" s="5" t="inlineStr">
        <is>
          <t>Eurostat (données policières transmises par le ministère de l'Intérieur) — crim_off_cat — Infractions enregistrées par la police par type d'infraction</t>
        </is>
      </c>
      <c r="J5" s="5" t="inlineStr">
        <is>
          <t>crim_off_cat?freq=A&amp;iccs=ICCS0502&amp;unit=P_HTHAB&amp;geo=FR</t>
        </is>
      </c>
      <c r="K5" s="5" t="inlineStr">
        <is>
          <t>2008-2024 (17 points, annuelle)</t>
        </is>
      </c>
      <c r="L5" s="5" t="inlineStr">
        <is>
          <t>resultat</t>
        </is>
      </c>
      <c r="M5" s="5" t="inlineStr">
        <is>
          <t>non</t>
        </is>
      </c>
      <c r="N5" s="5" t="inlineStr">
        <is>
          <t>non</t>
        </is>
      </c>
      <c r="O5" s="5" t="inlineStr">
        <is>
          <t>non</t>
        </is>
      </c>
      <c r="P5" s="5" t="inlineStr">
        <is>
          <t>non</t>
        </is>
      </c>
      <c r="Q5" s="5" t="inlineStr">
        <is>
          <t>ecarter</t>
        </is>
      </c>
      <c r="R5" s="5" t="inlineStr">
        <is>
          <t>La série enregistrée présente des sauts sans drapeau ni explication publiée (+42,9 % en 2009, -15,6 % en 2010, +17,8 % en 2013) et à peine plus d'une victime de vol sans violence sur quatre porte plainte (26,9 % en 2020, enquête CVS, SSMSI) : elle ne mesure pas l'évolution des vols (sens ambigu).</t>
        </is>
      </c>
      <c r="S5" s="5" t="inlineStr">
        <is>
          <t>ecarte</t>
        </is>
      </c>
      <c r="T5" s="7" t="inlineStr"/>
      <c r="U5" s="7" t="inlineStr"/>
    </row>
    <row r="6" ht="60" customHeight="1">
      <c r="A6" s="5" t="inlineStr">
        <is>
          <t>atteintes aux biens</t>
        </is>
      </c>
      <c r="B6" s="5" t="inlineStr">
        <is>
          <t>vols_vehicules</t>
        </is>
      </c>
      <c r="C6" s="6" t="inlineStr">
        <is>
          <t>vols_vehicules</t>
        </is>
      </c>
      <c r="D6" s="5" t="inlineStr">
        <is>
          <t>Vols de véhicules enregistrés (pour 100 000 habitants)</t>
        </is>
      </c>
      <c r="E6" s="5" t="inlineStr">
        <is>
          <t>oui</t>
        </is>
      </c>
      <c r="F6" s="5" t="inlineStr">
        <is>
          <t>Nombre de vols de véhicules à moteur ou de leurs pièces détachées (catégorie ICCS 05021, « vol de véhicule motorisé ou de ses pièces détachées ») enregistrés par la police et la gendarmerie dans l'année, pour 100 000 …</t>
        </is>
      </c>
      <c r="G6" s="5" t="inlineStr">
        <is>
          <t>bas</t>
        </is>
      </c>
      <c r="H6" s="5" t="inlineStr">
        <is>
          <t>infractions pour 100 000 habitants</t>
        </is>
      </c>
      <c r="I6" s="5" t="inlineStr">
        <is>
          <t>Eurostat (données policières transmises par le ministère de l'Intérieur) — crim_off_cat — Infractions enregistrées par la police par type d'infraction</t>
        </is>
      </c>
      <c r="J6" s="5" t="inlineStr">
        <is>
          <t>crim_off_cat?freq=A&amp;iccs=ICCS05021&amp;unit=P_HTHAB&amp;geo=FR</t>
        </is>
      </c>
      <c r="K6" s="5" t="inlineStr">
        <is>
          <t>2008-2024 (14 points, annuelle)</t>
        </is>
      </c>
      <c r="L6" s="5" t="inlineStr">
        <is>
          <t>resultat</t>
        </is>
      </c>
      <c r="M6" s="5" t="inlineStr">
        <is>
          <t>non</t>
        </is>
      </c>
      <c r="N6" s="5" t="inlineStr">
        <is>
          <t>non</t>
        </is>
      </c>
      <c r="O6" s="5" t="inlineStr">
        <is>
          <t>non</t>
        </is>
      </c>
      <c r="P6" s="5" t="inlineStr">
        <is>
          <t>non</t>
        </is>
      </c>
      <c r="Q6" s="5" t="inlineStr">
        <is>
          <t>retenir</t>
        </is>
      </c>
      <c r="R6" s="5" t="inlineStr">
        <is>
          <t>Vols de véhicules enregistrés pour 100 000 habitants, 2008-2024 (330 en 2008, 198 en 2024), lacune 2017-2019 ; environ une victime sur deux porte plainte (47,2 % pour les vols ou tentatives de vol de voiture en 2019 selon l'INSEE, 51 % en 2020 selon le SSMSI) et le sens bas repose sur l'hypothèse, non vérifiée, d'un taux de plainte stable.</t>
        </is>
      </c>
      <c r="S6" s="5" t="inlineStr">
        <is>
          <t>retenu</t>
        </is>
      </c>
      <c r="T6" s="7" t="inlineStr"/>
      <c r="U6" s="7" t="inlineStr"/>
    </row>
    <row r="7" ht="60" customHeight="1">
      <c r="A7" s="5" t="inlineStr">
        <is>
          <t>atteintes aux personnes</t>
        </is>
      </c>
      <c r="B7" s="5" t="inlineStr">
        <is>
          <t>homicides</t>
        </is>
      </c>
      <c r="C7" s="6" t="inlineStr">
        <is>
          <t>homicides</t>
        </is>
      </c>
      <c r="D7" s="5" t="inlineStr">
        <is>
          <t>Victimes d'homicide volontaire (pour 100 000 habitants)</t>
        </is>
      </c>
      <c r="E7" s="5" t="inlineStr">
        <is>
          <t>oui</t>
        </is>
      </c>
      <c r="F7" s="5" t="inlineStr">
        <is>
          <t>Nombre de victimes d'homicide volontaire (catégorie 0101 de la classification internationale des infractions ICCS, hors tentatives) enregistrées par la police et la gendarmerie au cours de l'année, rapporté à la …</t>
        </is>
      </c>
      <c r="G7" s="5" t="inlineStr">
        <is>
          <t>bas</t>
        </is>
      </c>
      <c r="H7" s="5" t="inlineStr">
        <is>
          <t>victimes pour 100 000 habitants</t>
        </is>
      </c>
      <c r="I7" s="5" t="inlineStr">
        <is>
          <t>Eurostat (données policières transmises par le ministère de l'Intérieur) — crim_hom_soff — Homicides volontaires et infractions sexuelles enregistrés, par statut juridique et sexe de la personne impliquée</t>
        </is>
      </c>
      <c r="J7" s="5" t="inlineStr">
        <is>
          <t>crim_hom_soff?freq=A&amp;iccs=ICCS0101&amp;leg_stat=PER_VICT&amp;sex=T&amp;unit=P_HTHAB&amp;geo=FR</t>
        </is>
      </c>
      <c r="K7" s="5" t="inlineStr">
        <is>
          <t>2008-2024 (17 points, annuelle)</t>
        </is>
      </c>
      <c r="L7" s="5" t="inlineStr">
        <is>
          <t>resultat</t>
        </is>
      </c>
      <c r="M7" s="5" t="inlineStr">
        <is>
          <t>non</t>
        </is>
      </c>
      <c r="N7" s="5" t="inlineStr">
        <is>
          <t>non</t>
        </is>
      </c>
      <c r="O7" s="5" t="inlineStr">
        <is>
          <t>oui</t>
        </is>
      </c>
      <c r="P7" s="5" t="inlineStr">
        <is>
          <t>oui</t>
        </is>
      </c>
      <c r="Q7" s="5" t="inlineStr">
        <is>
          <t>retenir</t>
        </is>
      </c>
      <c r="R7" s="5" t="inlineStr">
        <is>
          <t>Indicateur incontournable (Doughnut, OCDE 10_1, Eurostat QoL), taux annuel 2008-2024 sans lacune et à sens non ambigu (les homicides sont presque tous connus des services), raccordable à 2000 par la série ONUDC ; il englobe homicides_conjugaux, à ne pas cumuler avec lui au socle.</t>
        </is>
      </c>
      <c r="S7" s="5" t="inlineStr">
        <is>
          <t>retenu_socle</t>
        </is>
      </c>
      <c r="T7" s="7" t="inlineStr"/>
      <c r="U7" s="7" t="inlineStr"/>
    </row>
    <row r="8" ht="60" customHeight="1">
      <c r="A8" s="5" t="inlineStr">
        <is>
          <t>atteintes aux personnes</t>
        </is>
      </c>
      <c r="B8" s="5" t="inlineStr">
        <is>
          <t>homicides_conjugaux</t>
        </is>
      </c>
      <c r="C8" s="6" t="inlineStr">
        <is>
          <t>homicides_conjugaux</t>
        </is>
      </c>
      <c r="D8" s="5" t="inlineStr">
        <is>
          <t>Victimes d'homicide commis par le partenaire intime (pour 100 000 habitants)</t>
        </is>
      </c>
      <c r="E8" s="5" t="inlineStr">
        <is>
          <t>oui</t>
        </is>
      </c>
      <c r="F8" s="5" t="inlineStr">
        <is>
          <t>Nombre de victimes d'homicide volontaire dont l'auteur est le partenaire intime (conjoint, concubin, partenaire ou ancien partenaire), enregistrées par la police, rapporté à la population, pour 100 000 habitants.</t>
        </is>
      </c>
      <c r="G8" s="5" t="inlineStr">
        <is>
          <t>bas</t>
        </is>
      </c>
      <c r="H8" s="5" t="inlineStr">
        <is>
          <t>victimes pour 100 000 habitants</t>
        </is>
      </c>
      <c r="I8" s="5" t="inlineStr">
        <is>
          <t>Eurostat (données policières transmises par le ministère de l'Intérieur) — crim_hom_vrel — Victimes d'homicides volontaires par relation victime-délinquant et sexe</t>
        </is>
      </c>
      <c r="J8" s="5" t="inlineStr">
        <is>
          <t>crim_hom_vrel?freq=A&amp;pers_cat=IPTN&amp;sex=T&amp;unit=P_HTHAB&amp;geo=FR</t>
        </is>
      </c>
      <c r="K8" s="5" t="inlineStr">
        <is>
          <t>2015-2024 (10 points, annuelle)</t>
        </is>
      </c>
      <c r="L8" s="5" t="inlineStr">
        <is>
          <t>resultat</t>
        </is>
      </c>
      <c r="M8" s="5" t="inlineStr">
        <is>
          <t>non</t>
        </is>
      </c>
      <c r="N8" s="5" t="inlineStr">
        <is>
          <t>non</t>
        </is>
      </c>
      <c r="O8" s="5" t="inlineStr">
        <is>
          <t>non</t>
        </is>
      </c>
      <c r="P8" s="5" t="inlineStr">
        <is>
          <t>non</t>
        </is>
      </c>
      <c r="Q8" s="5" t="inlineStr">
        <is>
          <t>retenir</t>
        </is>
      </c>
      <c r="R8" s="5" t="inlineStr">
        <is>
          <t>Seule série annuelle des homicides conjugaux (ventilation par sexe disponible pour suivre les féminicides), 2015-2024 sans lacune et à sens non ambigu, aucune donnée avant 2015 ; composante de homicides, à ne pas cumuler avec lui au socle.</t>
        </is>
      </c>
      <c r="S8" s="5" t="inlineStr">
        <is>
          <t>retenu</t>
        </is>
      </c>
      <c r="T8" s="7" t="inlineStr"/>
      <c r="U8" s="7" t="inlineStr"/>
    </row>
    <row r="9" ht="60" customHeight="1">
      <c r="A9" s="5" t="inlineStr">
        <is>
          <t>atteintes aux personnes</t>
        </is>
      </c>
      <c r="B9" s="5" t="inlineStr">
        <is>
          <t>traite_etres_humains</t>
        </is>
      </c>
      <c r="C9" s="6" t="inlineStr">
        <is>
          <t>victimes_traite</t>
        </is>
      </c>
      <c r="D9" s="5" t="inlineStr">
        <is>
          <t>Victimes de la traite des êtres humains enregistrées (pour 100 000 habitants)</t>
        </is>
      </c>
      <c r="E9" s="5" t="inlineStr">
        <is>
          <t>oui</t>
        </is>
      </c>
      <c r="F9" s="5" t="inlineStr">
        <is>
          <t>Nombre de victimes de la traite des êtres humains (exploitation sexuelle, travail forcé, autres formes) identifiées ou présumées par les autorités dans l'année, pour 100 000 habitants (indicateur de développement …</t>
        </is>
      </c>
      <c r="G9" s="5" t="inlineStr">
        <is>
          <t>ambigu</t>
        </is>
      </c>
      <c r="H9" s="5" t="inlineStr">
        <is>
          <t>victimes pour 100 000 habitants</t>
        </is>
      </c>
      <c r="I9" s="5" t="inlineStr">
        <is>
          <t>Eurostat (données des autorités nationales) — sdg_16_70 — Victimes de la traite des êtres humains par sexe</t>
        </is>
      </c>
      <c r="J9" s="5" t="inlineStr">
        <is>
          <t>sdg_16_70?freq=A&amp;sex=T&amp;leg_stat=PER_VICT&amp;unit=P_HTHAB&amp;geo=FR</t>
        </is>
      </c>
      <c r="K9" s="5" t="inlineStr">
        <is>
          <t>2008-2024 (16 points, annuelle)</t>
        </is>
      </c>
      <c r="L9" s="5" t="inlineStr">
        <is>
          <t>resultat</t>
        </is>
      </c>
      <c r="M9" s="5" t="inlineStr">
        <is>
          <t>non</t>
        </is>
      </c>
      <c r="N9" s="5" t="inlineStr">
        <is>
          <t>non</t>
        </is>
      </c>
      <c r="O9" s="5" t="inlineStr">
        <is>
          <t>non</t>
        </is>
      </c>
      <c r="P9" s="5" t="inlineStr">
        <is>
          <t>non</t>
        </is>
      </c>
      <c r="Q9" s="5" t="inlineStr">
        <is>
          <t>ecarter</t>
        </is>
      </c>
      <c r="R9" s="5" t="inlineStr">
        <is>
          <t>Les victimes de traite comptées sont celles que les autorités identifient : la série dépend de l'effort de détection (sens ambigu) et ne reflète pas l'exposition de la population générale.</t>
        </is>
      </c>
      <c r="S9" s="5" t="inlineStr">
        <is>
          <t>ecarte</t>
        </is>
      </c>
      <c r="T9" s="7" t="inlineStr"/>
      <c r="U9" s="7" t="inlineStr"/>
    </row>
    <row r="10" ht="60" customHeight="1">
      <c r="A10" s="5" t="inlineStr">
        <is>
          <t>atteintes aux personnes</t>
        </is>
      </c>
      <c r="B10" s="5" t="inlineStr">
        <is>
          <t>violences_intrafamiliales</t>
        </is>
      </c>
      <c r="C10" s="6" t="inlineStr">
        <is>
          <t>victimes_violences_conjugales</t>
        </is>
      </c>
      <c r="D10" s="5" t="inlineStr">
        <is>
          <t>Adultes victimes de violences physiques ou sexuelles par un conjoint ou ex-conjoint (enquête)</t>
        </is>
      </c>
      <c r="E10" s="5" t="inlineStr">
        <is>
          <t>oui</t>
        </is>
      </c>
      <c r="F10" s="5" t="inlineStr">
        <is>
          <t>Part des personnes de 18 à 75 ans résidant en France métropolitaine qui déclarent avoir subi dans l'année au moins une violence physique ou sexuelle commise par leur conjoint ou ex-conjoint, qu'elles aient porté plainte …</t>
        </is>
      </c>
      <c r="G10" s="5" t="inlineStr">
        <is>
          <t>bas</t>
        </is>
      </c>
      <c r="H10" s="5" t="inlineStr">
        <is>
          <t>% des 18-75 ans</t>
        </is>
      </c>
      <c r="I10" s="5" t="inlineStr">
        <is>
          <t>INSEE (indicateurs ODD, d'après les enquêtes de victimation du SSMSI) — BDM, indicateurs ODD (ODD-PAIX-JUSTICE-INSTITUTIONS-EFFICACES)</t>
        </is>
      </c>
      <c r="J10" s="5" t="inlineStr">
        <is>
          <t>010596046</t>
        </is>
      </c>
      <c r="K10" s="5" t="inlineStr">
        <is>
          <t>2010-2023 (12 points, annuelle)</t>
        </is>
      </c>
      <c r="L10" s="5" t="inlineStr">
        <is>
          <t>resultat</t>
        </is>
      </c>
      <c r="M10" s="5" t="inlineStr">
        <is>
          <t>non</t>
        </is>
      </c>
      <c r="N10" s="5" t="inlineStr">
        <is>
          <t>non</t>
        </is>
      </c>
      <c r="O10" s="5" t="inlineStr">
        <is>
          <t>non</t>
        </is>
      </c>
      <c r="P10" s="5" t="inlineStr">
        <is>
          <t>non</t>
        </is>
      </c>
      <c r="Q10" s="5" t="inlineStr">
        <is>
          <t>retenir</t>
        </is>
      </c>
      <c r="R10" s="5" t="inlineStr">
        <is>
          <t>Seule mesure de la fréquence des violences conjugales indépendante de la plainte (enquête, 2010-2023), mais imprécise (0,2 à 0,9 %, arrondi au dixième) et rompue entre 2018 et 2021 ; composante de victimes_violences, à ne pas cumuler avec elle au socle.</t>
        </is>
      </c>
      <c r="S10" s="5" t="inlineStr">
        <is>
          <t>retenu</t>
        </is>
      </c>
      <c r="T10" s="7" t="inlineStr"/>
      <c r="U10" s="7" t="inlineStr"/>
    </row>
    <row r="11" ht="60" customHeight="1">
      <c r="A11" s="5" t="inlineStr">
        <is>
          <t>atteintes aux personnes</t>
        </is>
      </c>
      <c r="B11" s="5" t="inlineStr">
        <is>
          <t>violences_intrafamiliales</t>
        </is>
      </c>
      <c r="C11" s="5" t="inlineStr">
        <is>
          <t>violences_intrafamiliales_enregistrees</t>
        </is>
      </c>
      <c r="D11" s="5" t="inlineStr">
        <is>
          <t>Victimes de violences physiques intrafamiliales enregistrées (pour 100 000 habitants)</t>
        </is>
      </c>
      <c r="E11" s="5" t="inlineStr">
        <is>
          <t>non</t>
        </is>
      </c>
      <c r="F11" s="5" t="inlineStr">
        <is>
          <t>Nombre de victimes de violences physiques commises dans le cadre familial (conjugal ou non) enregistrées par la police et la gendarmerie dans l'année, France entière (base des séries chronologiques du SSMSI), rapporté à …</t>
        </is>
      </c>
      <c r="G11" s="5" t="inlineStr">
        <is>
          <t>ambigu</t>
        </is>
      </c>
      <c r="H11" s="5" t="inlineStr">
        <is>
          <t>victimes pour 100 000 habitants (à calculer)</t>
        </is>
      </c>
      <c r="I11" s="5" t="inlineStr">
        <is>
          <t>SSMSI (ministère de l'Intérieur) — base des séries chronologiques (data.gouv.fr)</t>
        </is>
      </c>
      <c r="J11" s="5" t="inlineStr">
        <is>
          <t>https://www.data.gouv.fr/fr/datasets/r/631cff69-f0da-4890-b4fc-97aeada1476f (Titre « Violences physiques intrafamiliales enregistrées par les services de sécurité » ; Indicateur=Violences physiques ; Sous_indicateur=Ensemble des lieux ; Statistique=Nombre ; Zone_geographique=France ; Champ=France ; Periodicite=Annuelle ; Unit)</t>
        </is>
      </c>
      <c r="K11" s="5" t="inlineStr">
        <is>
          <t>2016-2025 (10 points, annuelle)</t>
        </is>
      </c>
      <c r="L11" s="5" t="inlineStr">
        <is>
          <t>resultat</t>
        </is>
      </c>
      <c r="M11" s="5" t="inlineStr">
        <is>
          <t>non</t>
        </is>
      </c>
      <c r="N11" s="5" t="inlineStr">
        <is>
          <t>non</t>
        </is>
      </c>
      <c r="O11" s="5" t="inlineStr">
        <is>
          <t>non</t>
        </is>
      </c>
      <c r="P11" s="5" t="inlineStr">
        <is>
          <t>non</t>
        </is>
      </c>
      <c r="Q11" s="5" t="inlineStr">
        <is>
          <t>ecarter</t>
        </is>
      </c>
      <c r="R11" s="5" t="inlineStr">
        <is>
          <t>La série enregistrée (2016-2025) progresse avec la révélation des faits (M04, autres_sources §2.4) alors que l'enquête montre une baisse des violences conjugales déclarées sur 2010-2018 (de 0,7 % à 0,5 %) : sens ambigu, la fréquence étant mesurée par victimes_violences_conjugales.</t>
        </is>
      </c>
      <c r="S11" s="5" t="inlineStr">
        <is>
          <t>ecarte</t>
        </is>
      </c>
      <c r="T11" s="7" t="inlineStr"/>
      <c r="U11" s="7" t="inlineStr"/>
    </row>
    <row r="12" ht="60" customHeight="1">
      <c r="A12" s="5" t="inlineStr">
        <is>
          <t>atteintes aux personnes</t>
        </is>
      </c>
      <c r="B12" s="5" t="inlineStr">
        <is>
          <t>violences_personnes</t>
        </is>
      </c>
      <c r="C12" s="6" t="inlineStr">
        <is>
          <t>victimes_violences</t>
        </is>
      </c>
      <c r="D12" s="5" t="inlineStr">
        <is>
          <t>Adultes victimes de violences physiques ou sexuelles (enquête de victimation)</t>
        </is>
      </c>
      <c r="E12" s="5" t="inlineStr">
        <is>
          <t>oui</t>
        </is>
      </c>
      <c r="F12" s="5" t="inlineStr">
        <is>
          <t>Part des personnes de 18 à 75 ans résidant en France métropolitaine qui déclarent avoir subi au moins une violence physique ou sexuelle dans l'année, qu'elles aient porté plainte ou non (enquêtes de victimation Cadre de …</t>
        </is>
      </c>
      <c r="G12" s="5" t="inlineStr">
        <is>
          <t>bas</t>
        </is>
      </c>
      <c r="H12" s="5" t="inlineStr">
        <is>
          <t>% des 18-75 ans</t>
        </is>
      </c>
      <c r="I12" s="5" t="inlineStr">
        <is>
          <t>INSEE (indicateurs ODD, d'après les enquêtes de victimation du SSMSI) — BDM, indicateurs ODD (ODD-PAIX-JUSTICE-INSTITUTIONS-EFFICACES)</t>
        </is>
      </c>
      <c r="J12" s="5" t="inlineStr">
        <is>
          <t>010596041</t>
        </is>
      </c>
      <c r="K12" s="5" t="inlineStr">
        <is>
          <t>2010-2023 (12 points, annuelle)</t>
        </is>
      </c>
      <c r="L12" s="5" t="inlineStr">
        <is>
          <t>resultat</t>
        </is>
      </c>
      <c r="M12" s="5" t="inlineStr">
        <is>
          <t>non</t>
        </is>
      </c>
      <c r="N12" s="5" t="inlineStr">
        <is>
          <t>non</t>
        </is>
      </c>
      <c r="O12" s="5" t="inlineStr">
        <is>
          <t>non</t>
        </is>
      </c>
      <c r="P12" s="5" t="inlineStr">
        <is>
          <t>oui</t>
        </is>
      </c>
      <c r="Q12" s="5" t="inlineStr">
        <is>
          <t>retenir</t>
        </is>
      </c>
      <c r="R12" s="5" t="inlineStr">
        <is>
          <t>Mesure de référence de la victimation (enquête, indépendante du dépôt de plainte), indicateur ODD 16.i2 publié par l'INSEE pour 2010-2023, rompue entre l'enquête CVS (2,2 à 2,7 % en 2010-2018) et l'enquête VRS (1,4 à 1,7 % en 2021-2023) ; elle englobe les fiches violences physiques, sexuelles et conjugales, à ne pas cumuler avec elle au socle.</t>
        </is>
      </c>
      <c r="S12" s="5" t="inlineStr">
        <is>
          <t>retenu_socle</t>
        </is>
      </c>
      <c r="T12" s="7" t="inlineStr">
        <is>
          <t>retenu_socle</t>
        </is>
      </c>
      <c r="U12" s="7" t="inlineStr"/>
    </row>
    <row r="13" ht="60" customHeight="1">
      <c r="A13" s="5" t="inlineStr">
        <is>
          <t>atteintes aux personnes</t>
        </is>
      </c>
      <c r="B13" s="5" t="inlineStr">
        <is>
          <t>violences_physiques</t>
        </is>
      </c>
      <c r="C13" s="6" t="inlineStr">
        <is>
          <t>victimes_violences_physiques</t>
        </is>
      </c>
      <c r="D13" s="5" t="inlineStr">
        <is>
          <t>Adultes victimes de violences physiques (enquête de victimation)</t>
        </is>
      </c>
      <c r="E13" s="5" t="inlineStr">
        <is>
          <t>oui</t>
        </is>
      </c>
      <c r="F13" s="5" t="inlineStr">
        <is>
          <t>Part des personnes de 18 à 75 ans résidant en France métropolitaine qui déclarent avoir subi au moins une violence physique dans l'année, qu'elles aient porté plainte ou non (enquêtes CVS puis VRS ; composante de …</t>
        </is>
      </c>
      <c r="G13" s="5" t="inlineStr">
        <is>
          <t>bas</t>
        </is>
      </c>
      <c r="H13" s="5" t="inlineStr">
        <is>
          <t>% des 18-75 ans</t>
        </is>
      </c>
      <c r="I13" s="5" t="inlineStr">
        <is>
          <t>INSEE (indicateurs ODD, d'après les enquêtes de victimation du SSMSI) — BDM, indicateurs ODD (ODD-PAIX-JUSTICE-INSTITUTIONS-EFFICACES)</t>
        </is>
      </c>
      <c r="J13" s="5" t="inlineStr">
        <is>
          <t>010596044</t>
        </is>
      </c>
      <c r="K13" s="5" t="inlineStr">
        <is>
          <t>2010-2023 (12 points, annuelle)</t>
        </is>
      </c>
      <c r="L13" s="5" t="inlineStr">
        <is>
          <t>resultat</t>
        </is>
      </c>
      <c r="M13" s="5" t="inlineStr">
        <is>
          <t>non</t>
        </is>
      </c>
      <c r="N13" s="5" t="inlineStr">
        <is>
          <t>non</t>
        </is>
      </c>
      <c r="O13" s="5" t="inlineStr">
        <is>
          <t>non</t>
        </is>
      </c>
      <c r="P13" s="5" t="inlineStr">
        <is>
          <t>non</t>
        </is>
      </c>
      <c r="Q13" s="5" t="inlineStr">
        <is>
          <t>retenir</t>
        </is>
      </c>
      <c r="R13" s="5" t="inlineStr">
        <is>
          <t>Part des 18-75 ans déclarant des violences physiques (enquête), 2010-2023, indépendante de la plainte et stable sur la période CVS (2,1 % en 2010 comme en 2018), même rupture que l'ensemble (1,0 à 1,2 % en 2021-2023) ; composante de victimes_violences, à ne pas cumuler avec elle au socle.</t>
        </is>
      </c>
      <c r="S13" s="5" t="inlineStr">
        <is>
          <t>retenu</t>
        </is>
      </c>
      <c r="T13" s="7" t="inlineStr"/>
      <c r="U13" s="7" t="inlineStr"/>
    </row>
    <row r="14" ht="60" customHeight="1">
      <c r="A14" s="5" t="inlineStr">
        <is>
          <t>atteintes aux personnes</t>
        </is>
      </c>
      <c r="B14" s="5" t="inlineStr">
        <is>
          <t>violences_physiques</t>
        </is>
      </c>
      <c r="C14" s="5" t="inlineStr">
        <is>
          <t>violences_physiques_enregistrees</t>
        </is>
      </c>
      <c r="D14" s="5" t="inlineStr">
        <is>
          <t>Agressions graves enregistrées par la police (pour 100 000 habitants)</t>
        </is>
      </c>
      <c r="E14" s="5" t="inlineStr">
        <is>
          <t>non</t>
        </is>
      </c>
      <c r="F14" s="5" t="inlineStr">
        <is>
          <t>Nombre d'agressions graves (catégorie ICCS 020111, « serious assault » ; correspondance avec les coups et blessures volontaires de la nomenclature française à vérifier) enregistrées par la police et la gendarmerie dans …</t>
        </is>
      </c>
      <c r="G14" s="5" t="inlineStr">
        <is>
          <t>ambigu</t>
        </is>
      </c>
      <c r="H14" s="5" t="inlineStr">
        <is>
          <t>infractions pour 100 000 habitants</t>
        </is>
      </c>
      <c r="I14" s="5" t="inlineStr">
        <is>
          <t>Eurostat (données policières transmises par le ministère de l'Intérieur) — crim_off_cat — Infractions enregistrées par la police par type d'infraction</t>
        </is>
      </c>
      <c r="J14" s="5" t="inlineStr">
        <is>
          <t>crim_off_cat?freq=A&amp;iccs=ICCS020111&amp;unit=P_HTHAB&amp;geo=FR</t>
        </is>
      </c>
      <c r="K14" s="5" t="inlineStr">
        <is>
          <t>2008-2024 (17 points, annuelle)</t>
        </is>
      </c>
      <c r="L14" s="5" t="inlineStr">
        <is>
          <t>resultat</t>
        </is>
      </c>
      <c r="M14" s="5" t="inlineStr">
        <is>
          <t>non</t>
        </is>
      </c>
      <c r="N14" s="5" t="inlineStr">
        <is>
          <t>non</t>
        </is>
      </c>
      <c r="O14" s="5" t="inlineStr">
        <is>
          <t>non</t>
        </is>
      </c>
      <c r="P14" s="5" t="inlineStr">
        <is>
          <t>non</t>
        </is>
      </c>
      <c r="Q14" s="5" t="inlineStr">
        <is>
          <t>ecarter</t>
        </is>
      </c>
      <c r="R14" s="5" t="inlineStr">
        <is>
          <t>Sur une même période, les agressions graves enregistrées augmentent de 26 % (358,7 à 450,8 pour 100 000 habitants de 2010 à 2018) quand la part de victimes de violences physiques dans l'enquête CVS reste à 2,1 %, et moins d'une victime sur trois porte plainte (29,7 % en 2020, SSMSI) : la série suit surtout les plaintes et leur enregistrement (sens ambigu).</t>
        </is>
      </c>
      <c r="S14" s="5" t="inlineStr">
        <is>
          <t>ecarte</t>
        </is>
      </c>
      <c r="T14" s="7" t="inlineStr"/>
      <c r="U14" s="7" t="inlineStr"/>
    </row>
    <row r="15" ht="60" customHeight="1">
      <c r="A15" s="5" t="inlineStr">
        <is>
          <t>atteintes aux personnes</t>
        </is>
      </c>
      <c r="B15" s="5" t="inlineStr">
        <is>
          <t>violences_sexuelles</t>
        </is>
      </c>
      <c r="C15" s="6" t="inlineStr">
        <is>
          <t>victimes_violences_sexuelles</t>
        </is>
      </c>
      <c r="D15" s="5" t="inlineStr">
        <is>
          <t>Adultes victimes de violences sexuelles (enquête de victimation)</t>
        </is>
      </c>
      <c r="E15" s="5" t="inlineStr">
        <is>
          <t>oui</t>
        </is>
      </c>
      <c r="F15" s="5" t="inlineStr">
        <is>
          <t>Part des personnes de 18 à 75 ans résidant en France métropolitaine qui déclarent avoir subi au moins une violence sexuelle dans l'année, qu'elles aient porté plainte ou non (enquêtes CVS puis VRS ; composante de …</t>
        </is>
      </c>
      <c r="G15" s="5" t="inlineStr">
        <is>
          <t>bas</t>
        </is>
      </c>
      <c r="H15" s="5" t="inlineStr">
        <is>
          <t>% des 18-75 ans</t>
        </is>
      </c>
      <c r="I15" s="5" t="inlineStr">
        <is>
          <t>INSEE (indicateurs ODD, d'après les enquêtes de victimation du SSMSI) — BDM, indicateurs ODD (ODD-PAIX-JUSTICE-INSTITUTIONS-EFFICACES)</t>
        </is>
      </c>
      <c r="J15" s="5" t="inlineStr">
        <is>
          <t>010596045</t>
        </is>
      </c>
      <c r="K15" s="5" t="inlineStr">
        <is>
          <t>2010-2023 (12 points, annuelle)</t>
        </is>
      </c>
      <c r="L15" s="5" t="inlineStr">
        <is>
          <t>resultat</t>
        </is>
      </c>
      <c r="M15" s="5" t="inlineStr">
        <is>
          <t>non</t>
        </is>
      </c>
      <c r="N15" s="5" t="inlineStr">
        <is>
          <t>non</t>
        </is>
      </c>
      <c r="O15" s="5" t="inlineStr">
        <is>
          <t>non</t>
        </is>
      </c>
      <c r="P15" s="5" t="inlineStr">
        <is>
          <t>non</t>
        </is>
      </c>
      <c r="Q15" s="5" t="inlineStr">
        <is>
          <t>retenir</t>
        </is>
      </c>
      <c r="R15" s="5" t="inlineStr">
        <is>
          <t>Seule mesure de la fréquence des violences sexuelles indépendante de la plainte (enquête, 2010-2023), aux valeurs faibles (0,4 à 0,8 %) arrondies au dixième, donc peu sensibles aux évolutions ; composante de victimes_violences, à ne pas cumuler avec elle au socle.</t>
        </is>
      </c>
      <c r="S15" s="5" t="inlineStr">
        <is>
          <t>retenu</t>
        </is>
      </c>
      <c r="T15" s="7" t="inlineStr"/>
      <c r="U15" s="7" t="inlineStr"/>
    </row>
    <row r="16" ht="60" customHeight="1">
      <c r="A16" s="5" t="inlineStr">
        <is>
          <t>atteintes aux personnes</t>
        </is>
      </c>
      <c r="B16" s="5" t="inlineStr">
        <is>
          <t>violences_sexuelles</t>
        </is>
      </c>
      <c r="C16" s="5" t="inlineStr">
        <is>
          <t>violences_sexuelles_enregistrees</t>
        </is>
      </c>
      <c r="D16" s="5" t="inlineStr">
        <is>
          <t>Violences sexuelles enregistrées par la police (pour 100 000 habitants)</t>
        </is>
      </c>
      <c r="E16" s="5" t="inlineStr">
        <is>
          <t>non</t>
        </is>
      </c>
      <c r="F16" s="5" t="inlineStr">
        <is>
          <t>Nombre de violences sexuelles (catégorie ICCS 0301 : viols et agressions sexuelles) enregistrées par la police et la gendarmerie dans l'année, pour 100 000 habitants.</t>
        </is>
      </c>
      <c r="G16" s="5" t="inlineStr">
        <is>
          <t>ambigu</t>
        </is>
      </c>
      <c r="H16" s="5" t="inlineStr">
        <is>
          <t>infractions pour 100 000 habitants</t>
        </is>
      </c>
      <c r="I16" s="5" t="inlineStr">
        <is>
          <t>Eurostat (données policières transmises par le ministère de l'Intérieur) — crim_off_cat — Infractions enregistrées par la police par type d'infraction</t>
        </is>
      </c>
      <c r="J16" s="5" t="inlineStr">
        <is>
          <t>crim_off_cat?freq=A&amp;iccs=ICCS0301&amp;unit=P_HTHAB&amp;geo=FR</t>
        </is>
      </c>
      <c r="K16" s="5" t="inlineStr">
        <is>
          <t>2008-2024 (17 points, annuelle)</t>
        </is>
      </c>
      <c r="L16" s="5" t="inlineStr">
        <is>
          <t>resultat</t>
        </is>
      </c>
      <c r="M16" s="5" t="inlineStr">
        <is>
          <t>non</t>
        </is>
      </c>
      <c r="N16" s="5" t="inlineStr">
        <is>
          <t>non</t>
        </is>
      </c>
      <c r="O16" s="5" t="inlineStr">
        <is>
          <t>non</t>
        </is>
      </c>
      <c r="P16" s="5" t="inlineStr">
        <is>
          <t>non</t>
        </is>
      </c>
      <c r="Q16" s="5" t="inlineStr">
        <is>
          <t>ecarter</t>
        </is>
      </c>
      <c r="R16" s="5" t="inlineStr">
        <is>
          <t>Sur 2010-2018, les violences sexuelles enregistrées doublent (35,5 à 71,6 pour 100 000 habitants) quand la part de victimes déclarées dans l'enquête CVS passe de 0,4 à 0,5 %, et moins d'une victime d'agression sexuelle sur cinq la signale à la police (17,4 % en 2019, ONUDC) : la série mesure la révélation des faits, pas leur fréquence (sens ambigu).</t>
        </is>
      </c>
      <c r="S16" s="5" t="inlineStr">
        <is>
          <t>ecarte</t>
        </is>
      </c>
      <c r="T16" s="7" t="inlineStr"/>
      <c r="U16" s="7" t="inlineStr"/>
    </row>
    <row r="17" ht="60" customHeight="1">
      <c r="A17" s="5" t="inlineStr">
        <is>
          <t>atteintes aux personnes</t>
        </is>
      </c>
      <c r="B17" s="5" t="inlineStr">
        <is>
          <t>vols_violence</t>
        </is>
      </c>
      <c r="C17" s="6" t="inlineStr">
        <is>
          <t>victimes_vols_violence</t>
        </is>
      </c>
      <c r="D17" s="5" t="inlineStr">
        <is>
          <t>Population victime de vol avec violence ou menace (enquête de victimation)</t>
        </is>
      </c>
      <c r="E17" s="5" t="inlineStr">
        <is>
          <t>oui</t>
        </is>
      </c>
      <c r="F17" s="5" t="inlineStr">
        <is>
          <t>Part de la population ayant subi dans les 12 derniers mois un vol commis avec violence ou menace, d'après l'enquête de victimation française relayée par l'ONUDC (indicateur ODD 16.1.3, série VC_VOV_ROBB de la base ODD …</t>
        </is>
      </c>
      <c r="G17" s="5" t="inlineStr">
        <is>
          <t>bas</t>
        </is>
      </c>
      <c r="H17" s="5" t="inlineStr">
        <is>
          <t>% de la population</t>
        </is>
      </c>
      <c r="I17" s="5" t="inlineStr">
        <is>
          <t>OCDE (relais de l'ONUDC, d'après l'enquête de victimation du SSMSI) — indicateurs ODD (base « Measuring distance to the SDG targets »)</t>
        </is>
      </c>
      <c r="J17" s="5" t="inlineStr">
        <is>
          <t>odd_16 : 16_1_3_VC_VOV_ROBB._T._T._T._T._T.PT_POP</t>
        </is>
      </c>
      <c r="K17" s="5" t="inlineStr">
        <is>
          <t>2007-2022 (15 points, annuelle)</t>
        </is>
      </c>
      <c r="L17" s="5" t="inlineStr">
        <is>
          <t>resultat</t>
        </is>
      </c>
      <c r="M17" s="5" t="inlineStr">
        <is>
          <t>non</t>
        </is>
      </c>
      <c r="N17" s="5" t="inlineStr">
        <is>
          <t>non</t>
        </is>
      </c>
      <c r="O17" s="5" t="inlineStr">
        <is>
          <t>non</t>
        </is>
      </c>
      <c r="P17" s="5" t="inlineStr">
        <is>
          <t>non</t>
        </is>
      </c>
      <c r="Q17" s="5" t="inlineStr">
        <is>
          <t>retenir</t>
        </is>
      </c>
      <c r="R17" s="5" t="inlineStr">
        <is>
          <t>Seule série d'enquête sur les vols avec violence (2007-2022, 15 points), indépendante de la plainte ; la poursuite du relais ONUDC après 2022 n'est pas assurée.</t>
        </is>
      </c>
      <c r="S17" s="5" t="inlineStr">
        <is>
          <t>retenu</t>
        </is>
      </c>
      <c r="T17" s="7" t="inlineStr"/>
      <c r="U17" s="7" t="inlineStr"/>
    </row>
    <row r="18" ht="60" customHeight="1">
      <c r="A18" s="5" t="inlineStr">
        <is>
          <t>atteintes aux personnes</t>
        </is>
      </c>
      <c r="B18" s="5" t="inlineStr">
        <is>
          <t>vols_violence</t>
        </is>
      </c>
      <c r="C18" s="5" t="inlineStr">
        <is>
          <t>vols_violence_enregistres</t>
        </is>
      </c>
      <c r="D18" s="5" t="inlineStr">
        <is>
          <t>Vols avec violence enregistrés par la police (pour 100 000 habitants)</t>
        </is>
      </c>
      <c r="E18" s="5" t="inlineStr">
        <is>
          <t>non</t>
        </is>
      </c>
      <c r="F18" s="5" t="inlineStr">
        <is>
          <t>Nombre de vols commis avec violence ou menace (catégorie ICCS 0401, « robbery ») enregistrés par la police et la gendarmerie dans l'année, pour 100 000 habitants.</t>
        </is>
      </c>
      <c r="G18" s="5" t="inlineStr">
        <is>
          <t>bas</t>
        </is>
      </c>
      <c r="H18" s="5" t="inlineStr">
        <is>
          <t>infractions pour 100 000 habitants</t>
        </is>
      </c>
      <c r="I18" s="5" t="inlineStr">
        <is>
          <t>Eurostat (données policières transmises par le ministère de l'Intérieur) — crim_off_cat — Infractions enregistrées par la police par type d'infraction</t>
        </is>
      </c>
      <c r="J18" s="5" t="inlineStr">
        <is>
          <t>crim_off_cat?freq=A&amp;iccs=ICCS0401&amp;unit=P_HTHAB&amp;geo=FR</t>
        </is>
      </c>
      <c r="K18" s="5" t="inlineStr">
        <is>
          <t>2008-2024 (17 points, annuelle)</t>
        </is>
      </c>
      <c r="L18" s="5" t="inlineStr">
        <is>
          <t>resultat</t>
        </is>
      </c>
      <c r="M18" s="5" t="inlineStr">
        <is>
          <t>non</t>
        </is>
      </c>
      <c r="N18" s="5" t="inlineStr">
        <is>
          <t>non</t>
        </is>
      </c>
      <c r="O18" s="5" t="inlineStr">
        <is>
          <t>non</t>
        </is>
      </c>
      <c r="P18" s="5" t="inlineStr">
        <is>
          <t>non</t>
        </is>
      </c>
      <c r="Q18" s="5" t="inlineStr">
        <is>
          <t>retenir_variante</t>
        </is>
      </c>
      <c r="R18" s="5" t="inlineStr">
        <is>
          <t>Série enregistrée continue 2008-2024 (de 167 à 190 pour 100 000 jusqu'en 2013, puis 83 en 2024), dont le sens n'est pas contredit par l'enquête ; variante de la série d'enquête, plus fraîche qu'elle.</t>
        </is>
      </c>
      <c r="S18" s="5" t="inlineStr">
        <is>
          <t>retenu</t>
        </is>
      </c>
      <c r="T18" s="7" t="inlineStr"/>
      <c r="U18" s="7" t="inlineStr"/>
    </row>
    <row r="19" ht="60" customHeight="1">
      <c r="A19" s="5" t="inlineStr">
        <is>
          <t>sentiment d'insécurité</t>
        </is>
      </c>
      <c r="B19" s="5" t="inlineStr">
        <is>
          <t>insecurite_quartier</t>
        </is>
      </c>
      <c r="C19" s="6" t="inlineStr">
        <is>
          <t>delinquance_quartier</t>
        </is>
      </c>
      <c r="D19" s="5" t="inlineStr">
        <is>
          <t>Population déclarant délinquance, violence ou vandalisme dans son quartier</t>
        </is>
      </c>
      <c r="E19" s="5" t="inlineStr">
        <is>
          <t>oui</t>
        </is>
      </c>
      <c r="F19" s="5" t="inlineStr">
        <is>
          <t>Part de la population vivant dans un ménage qui déclare des problèmes de délinquance, de violence ou de vandalisme dans son quartier (enquête européenne EU-SILC, volet français SRCV).</t>
        </is>
      </c>
      <c r="G19" s="5" t="inlineStr">
        <is>
          <t>bas</t>
        </is>
      </c>
      <c r="H19" s="5" t="inlineStr">
        <is>
          <t>% de la population</t>
        </is>
      </c>
      <c r="I19" s="5" t="inlineStr">
        <is>
          <t>Eurostat (EU-SILC ; enquête SRCV de l'INSEE) — ilc_mddw03 — Délinquance, violence ou vandalisme aux alentours</t>
        </is>
      </c>
      <c r="J19" s="5" t="inlineStr">
        <is>
          <t>ilc_mddw03?freq=A&amp;hhcomp=TOTAL&amp;rskpovth=TOTAL&amp;unit=PC&amp;geo=FR</t>
        </is>
      </c>
      <c r="K19" s="5" t="inlineStr">
        <is>
          <t>2004-2023 (18 points, irreguliere)</t>
        </is>
      </c>
      <c r="L19" s="5" t="inlineStr">
        <is>
          <t>resultat</t>
        </is>
      </c>
      <c r="M19" s="5" t="inlineStr">
        <is>
          <t>oui</t>
        </is>
      </c>
      <c r="N19" s="5" t="inlineStr">
        <is>
          <t>non</t>
        </is>
      </c>
      <c r="O19" s="5" t="inlineStr">
        <is>
          <t>oui</t>
        </is>
      </c>
      <c r="P19" s="5" t="inlineStr">
        <is>
          <t>non</t>
        </is>
      </c>
      <c r="Q19" s="5" t="inlineStr">
        <is>
          <t>retenir</t>
        </is>
      </c>
      <c r="R19" s="5" t="inlineStr">
        <is>
          <t>Indicateur phare du cadre Eurostat QoL (sécurité physique), 2004-2023 (22,3 % en 2004, 14,7 % en 2023), source publique de niveau 1 ; devenu triennal après 2020 (pas de valeur 2021-2022).</t>
        </is>
      </c>
      <c r="S19" s="5" t="inlineStr">
        <is>
          <t>retenu</t>
        </is>
      </c>
      <c r="T19" s="7" t="inlineStr">
        <is>
          <t>retenu</t>
        </is>
      </c>
      <c r="U19" s="7" t="inlineStr"/>
    </row>
    <row r="20" ht="60" customHeight="1">
      <c r="A20" s="5" t="inlineStr">
        <is>
          <t>sentiment d'insécurité</t>
        </is>
      </c>
      <c r="B20" s="5" t="inlineStr">
        <is>
          <t>insecurite_quartier</t>
        </is>
      </c>
      <c r="C20" s="5" t="inlineStr">
        <is>
          <t>preoccupation_insecurite_quartier</t>
        </is>
      </c>
      <c r="D20" s="5" t="inlineStr">
        <is>
          <t>Personnes préoccupées par l'insécurité dans leur quartier ou village (baromètre DREES)</t>
        </is>
      </c>
      <c r="E20" s="5" t="inlineStr">
        <is>
          <t>non</t>
        </is>
      </c>
      <c r="F20" s="5" t="inlineStr">
        <is>
          <t>Part des adultes résidant en France métropolitaine (âge minimal à vérifier) qui se disent « beaucoup » ou « assez » préoccupées par l'insécurité dans leur quartier ou leur village (question OG04_4 du baromètre d'opinion …</t>
        </is>
      </c>
      <c r="G20" s="5" t="inlineStr">
        <is>
          <t>bas</t>
        </is>
      </c>
      <c r="H20" s="5" t="inlineStr">
        <is>
          <t>% des répondants</t>
        </is>
      </c>
      <c r="I20" s="5" t="inlineStr">
        <is>
          <t>DREES (baromètre d'opinion) — Baromètre d'opinion (microdonnées pondérées, data.drees)</t>
        </is>
      </c>
      <c r="J20" s="5" t="inlineStr">
        <is>
          <t>data.drees.solidarites-sante.gouv.fr, jeu 431_le-barometre-d-opinion, pièce jointe barometre2000_2025_diff_csv ; variable OG04_4, modalités 1+2</t>
        </is>
      </c>
      <c r="K20" s="5" t="inlineStr">
        <is>
          <t>2014-2025 (12 points, annuelle)</t>
        </is>
      </c>
      <c r="L20" s="5" t="inlineStr">
        <is>
          <t>resultat</t>
        </is>
      </c>
      <c r="M20" s="5" t="inlineStr">
        <is>
          <t>oui</t>
        </is>
      </c>
      <c r="N20" s="5" t="inlineStr">
        <is>
          <t>non</t>
        </is>
      </c>
      <c r="O20" s="5" t="inlineStr">
        <is>
          <t>non</t>
        </is>
      </c>
      <c r="P20" s="5" t="inlineStr">
        <is>
          <t>non</t>
        </is>
      </c>
      <c r="Q20" s="5" t="inlineStr">
        <is>
          <t>retenir_variante</t>
        </is>
      </c>
      <c r="R20" s="5" t="inlineStr">
        <is>
          <t>Seule série annuelle vivante sur l'insécurité ressentie dans le quartier (2014-2025, de 37,5 à 47,6 % de préoccupés), mais elle mesure une préoccupation plutôt qu'un sentiment d'insécurité vécu.</t>
        </is>
      </c>
      <c r="S20" s="5" t="inlineStr">
        <is>
          <t>retenu</t>
        </is>
      </c>
      <c r="T20" s="7" t="inlineStr"/>
      <c r="U20" s="7" t="inlineStr"/>
    </row>
    <row r="21" ht="60" customHeight="1">
      <c r="A21" s="5" t="inlineStr">
        <is>
          <t>sentiment d'insécurité</t>
        </is>
      </c>
      <c r="B21" s="5" t="inlineStr">
        <is>
          <t>insecurite_quartier</t>
        </is>
      </c>
      <c r="C21" s="5" t="inlineStr">
        <is>
          <t>sentiment_insecurite_quartier</t>
        </is>
      </c>
      <c r="D21" s="5" t="inlineStr">
        <is>
          <t>Personnes se sentant en insécurité dans leur quartier ou village (enquête CVS)</t>
        </is>
      </c>
      <c r="E21" s="5" t="inlineStr">
        <is>
          <t>non</t>
        </is>
      </c>
      <c r="F21" s="5" t="inlineStr">
        <is>
          <t>Nombre de personnes de 14 ans ou plus résidant en France métropolitaine qui déclarent se sentir en insécurité dans leur quartier ou leur village (enquête Cadre de vie et sécurité), à rapporter à la population de 14 ans …</t>
        </is>
      </c>
      <c r="G21" s="5" t="inlineStr">
        <is>
          <t>bas</t>
        </is>
      </c>
      <c r="H21" s="5" t="inlineStr">
        <is>
          <t>nombre de personnes de 14 ans ou plus (part à calculer)</t>
        </is>
      </c>
      <c r="I21" s="5" t="inlineStr">
        <is>
          <t>SSMSI (ministère de l'Intérieur) — base des séries chronologiques (data.gouv.fr)</t>
        </is>
      </c>
      <c r="J21" s="5" t="inlineStr">
        <is>
          <t>https://www.data.gouv.fr/fr/datasets/r/631cff69-f0da-4890-b4fc-97aeada1476f (Titre « Sentiment d'insécurité dans le quartier ou le village » ; Indicateur=Sentiment d'insécurité ; Sous_indicateur=Dans le quartier ou le village ; Statistique=Nombre ; Zone_geographique=France métropolitaine ; Champ=France)</t>
        </is>
      </c>
      <c r="K21" s="5" t="inlineStr">
        <is>
          <t>2007-2021 (14 points, annuelle)</t>
        </is>
      </c>
      <c r="L21" s="5" t="inlineStr">
        <is>
          <t>resultat</t>
        </is>
      </c>
      <c r="M21" s="5" t="inlineStr">
        <is>
          <t>oui</t>
        </is>
      </c>
      <c r="N21" s="5" t="inlineStr">
        <is>
          <t>non</t>
        </is>
      </c>
      <c r="O21" s="5" t="inlineStr">
        <is>
          <t>non</t>
        </is>
      </c>
      <c r="P21" s="5" t="inlineStr">
        <is>
          <t>non</t>
        </is>
      </c>
      <c r="Q21" s="5" t="inlineStr">
        <is>
          <t>ecarter</t>
        </is>
      </c>
      <c r="R21" s="5" t="inlineStr">
        <is>
          <t>Mesure officielle historique du sentiment d'insécurité (enquête CVS, 2007-2021), arrêtée en 2021 sans relais comparable (D32) : la suite VRS publiée par l'INSEE (2022-2024) a un autre champ et pas de total d'ensemble, et la vague 2021 a été collectée à 99 % par téléphone.</t>
        </is>
      </c>
      <c r="S21" s="5" t="inlineStr">
        <is>
          <t>ecarte</t>
        </is>
      </c>
      <c r="T21" s="7" t="inlineStr"/>
      <c r="U21" s="7" t="inlineStr"/>
    </row>
    <row r="22" ht="60" customHeight="1">
      <c r="A22" s="5" t="inlineStr">
        <is>
          <t>sentiment d'insécurité</t>
        </is>
      </c>
      <c r="B22" s="5" t="inlineStr">
        <is>
          <t>securite_nuit</t>
        </is>
      </c>
      <c r="C22" s="6" t="inlineStr">
        <is>
          <t>securite_nuit</t>
        </is>
      </c>
      <c r="D22" s="5" t="inlineStr">
        <is>
          <t>Personnes se sentant en sécurité en marchant seules la nuit dans leur quartier</t>
        </is>
      </c>
      <c r="E22" s="5" t="inlineStr">
        <is>
          <t>oui</t>
        </is>
      </c>
      <c r="F22" s="5" t="inlineStr">
        <is>
          <t>Part des personnes de 15 ans ou plus qui déclarent se sentir en sécurité lorsqu'elles marchent seules la nuit dans la ville ou le quartier où elles vivent (Gallup World Poll, relayé par l'OCDE, base How's Life?, mesure …</t>
        </is>
      </c>
      <c r="G22" s="5" t="inlineStr">
        <is>
          <t>haut</t>
        </is>
      </c>
      <c r="H22" s="5" t="inlineStr">
        <is>
          <t>% des 15 ans ou plus</t>
        </is>
      </c>
      <c r="I22" s="5" t="inlineStr">
        <is>
          <t>OCDE (relais du Gallup World Poll) — How's Life? (base du bien-être)</t>
        </is>
      </c>
      <c r="J22" s="5" t="inlineStr">
        <is>
          <t>OECD.WISE.WDP,DSD_HSL@DF_HSL_CWB,1.1 MEASURE=10_2 UNIT_MEASURE=PT_POP_Y_GE15</t>
        </is>
      </c>
      <c r="K22" s="5" t="inlineStr">
        <is>
          <t>2006-2025 (7 points, irreguliere)</t>
        </is>
      </c>
      <c r="L22" s="5" t="inlineStr">
        <is>
          <t>resultat</t>
        </is>
      </c>
      <c r="M22" s="5" t="inlineStr">
        <is>
          <t>oui</t>
        </is>
      </c>
      <c r="N22" s="5" t="inlineStr">
        <is>
          <t>non</t>
        </is>
      </c>
      <c r="O22" s="5" t="inlineStr">
        <is>
          <t>oui</t>
        </is>
      </c>
      <c r="P22" s="5" t="inlineStr">
        <is>
          <t>non</t>
        </is>
      </c>
      <c r="Q22" s="5" t="inlineStr">
        <is>
          <t>retenir</t>
        </is>
      </c>
      <c r="R22" s="5" t="inlineStr">
        <is>
          <t>Indicateur des cadres OCDE (10_2) et Eurostat QoL, 2006-2025 (72,0 % en 2025), mais 7 valeurs seulement (moyennes Gallup sur 2 à 3 ans) et licence de réutilisation non trouvée (D26).</t>
        </is>
      </c>
      <c r="S22" s="5" t="inlineStr">
        <is>
          <t>retenu</t>
        </is>
      </c>
      <c r="T22" s="7" t="inlineStr">
        <is>
          <t>retenu</t>
        </is>
      </c>
      <c r="U22" s="7" t="inlineStr"/>
    </row>
    <row r="23" ht="60" customHeight="1">
      <c r="A23" s="5" t="inlineStr">
        <is>
          <t>sécurité des transports hors route</t>
        </is>
      </c>
      <c r="B23" s="5" t="inlineStr">
        <is>
          <t>securite_ferroviaire</t>
        </is>
      </c>
      <c r="C23" s="6" t="inlineStr">
        <is>
          <t>tues_ferroviaire</t>
        </is>
      </c>
      <c r="D23" s="5" t="inlineStr">
        <is>
          <t>Tués dans les accidents ferroviaires (nombre)</t>
        </is>
      </c>
      <c r="E23" s="5" t="inlineStr">
        <is>
          <t>oui</t>
        </is>
      </c>
      <c r="F23" s="5" t="inlineStr">
        <is>
          <t>Nombre de personnes tuées dans des accidents ferroviaires significatifs survenus en France dans l'année, toutes catégories de personnes (voyageurs, personnel, usagers de passages à niveau, intrus), hors suicides.</t>
        </is>
      </c>
      <c r="G23" s="5" t="inlineStr">
        <is>
          <t>bas</t>
        </is>
      </c>
      <c r="H23" s="5" t="inlineStr">
        <is>
          <t>nombre de tués</t>
        </is>
      </c>
      <c r="I23" s="5" t="inlineStr">
        <is>
          <t>Eurostat (statistiques de sécurité ferroviaire) — tran_sf_railvi — Victimes des accidents ferroviaires, par type d'accident et catégorie de personne impliquée</t>
        </is>
      </c>
      <c r="J23" s="5" t="inlineStr">
        <is>
          <t>tran_sf_railvi?freq=A&amp;unit=NR&amp;accident=TOTAL&amp;victim=KIL&amp;pers_cat=TOTAL&amp;geo=FR</t>
        </is>
      </c>
      <c r="K23" s="5" t="inlineStr">
        <is>
          <t>2006-2024 (19 points, annuelle)</t>
        </is>
      </c>
      <c r="L23" s="5" t="inlineStr">
        <is>
          <t>resultat</t>
        </is>
      </c>
      <c r="M23" s="5" t="inlineStr">
        <is>
          <t>non</t>
        </is>
      </c>
      <c r="N23" s="5" t="inlineStr">
        <is>
          <t>non</t>
        </is>
      </c>
      <c r="O23" s="5" t="inlineStr">
        <is>
          <t>non</t>
        </is>
      </c>
      <c r="P23" s="5" t="inlineStr">
        <is>
          <t>non</t>
        </is>
      </c>
      <c r="Q23" s="5" t="inlineStr">
        <is>
          <t>ecarter</t>
        </is>
      </c>
      <c r="R23" s="5" t="inlineStr">
        <is>
          <t>Hors du contenu de la dimension, qui ne retient pour les transports que la sécurité routière (arbitrage A6) ; série en nombre absolu commençant en 2006.</t>
        </is>
      </c>
      <c r="S23" s="5" t="inlineStr">
        <is>
          <t>ecarte</t>
        </is>
      </c>
      <c r="T23" s="7" t="inlineStr"/>
      <c r="U23" s="7" t="inlineStr"/>
    </row>
    <row r="24" ht="60" customHeight="1">
      <c r="A24" s="5" t="inlineStr">
        <is>
          <t>sécurité routière</t>
        </is>
      </c>
      <c r="B24" s="5" t="inlineStr">
        <is>
          <t>blesses_route</t>
        </is>
      </c>
      <c r="C24" s="6" t="inlineStr">
        <is>
          <t>blesses_route</t>
        </is>
      </c>
      <c r="D24" s="5" t="inlineStr">
        <is>
          <t>Blessés sur les routes (par million d'habitants)</t>
        </is>
      </c>
      <c r="E24" s="5" t="inlineStr">
        <is>
          <t>oui</t>
        </is>
      </c>
      <c r="F24" s="5" t="inlineStr">
        <is>
          <t>Nombre de personnes blessées dans un accident de la circulation routière dans l'année, rapporté à la population, par million d'habitants (valeur nationale du jeu régional tran_r_acci).</t>
        </is>
      </c>
      <c r="G24" s="5" t="inlineStr">
        <is>
          <t>bas</t>
        </is>
      </c>
      <c r="H24" s="5" t="inlineStr">
        <is>
          <t>blessés par million d'habitants</t>
        </is>
      </c>
      <c r="I24" s="5" t="inlineStr">
        <is>
          <t>Eurostat (statistiques régionales des transports) — tran_r_acci — Victimes dans les accidents de la route par région NUTS 2</t>
        </is>
      </c>
      <c r="J24" s="5" t="inlineStr">
        <is>
          <t>tran_r_acci?freq=A&amp;victim=INJ&amp;unit=P_MHAB&amp;geo=FR</t>
        </is>
      </c>
      <c r="K24" s="5" t="inlineStr">
        <is>
          <t>2000-2024 (25 points, annuelle)</t>
        </is>
      </c>
      <c r="L24" s="5" t="inlineStr">
        <is>
          <t>resultat</t>
        </is>
      </c>
      <c r="M24" s="5" t="inlineStr">
        <is>
          <t>non</t>
        </is>
      </c>
      <c r="N24" s="5" t="inlineStr">
        <is>
          <t>non</t>
        </is>
      </c>
      <c r="O24" s="5" t="inlineStr">
        <is>
          <t>non</t>
        </is>
      </c>
      <c r="P24" s="5" t="inlineStr">
        <is>
          <t>non</t>
        </is>
      </c>
      <c r="Q24" s="5" t="inlineStr">
        <is>
          <t>retenir</t>
        </is>
      </c>
      <c r="R24" s="5" t="inlineStr">
        <is>
          <t>Seule série nationale des blessés de la route au catalogue (2 726 par million en 2000, 990 en 2024, sans lacune), complément des tués, alors que l'objectif UE 2030 ne vise que les blessés graves ; issue d'un jeu régional que D30 prévoit d'exclure, d'où une exception à prévoir.</t>
        </is>
      </c>
      <c r="S24" s="5" t="inlineStr">
        <is>
          <t>retenu</t>
        </is>
      </c>
      <c r="T24" s="7" t="inlineStr"/>
      <c r="U24" s="7" t="inlineStr"/>
    </row>
    <row r="25" ht="60" customHeight="1">
      <c r="A25" s="5" t="inlineStr">
        <is>
          <t>sécurité routière</t>
        </is>
      </c>
      <c r="B25" s="5" t="inlineStr">
        <is>
          <t>securite_routiere</t>
        </is>
      </c>
      <c r="C25" s="6" t="inlineStr">
        <is>
          <t>tues_route</t>
        </is>
      </c>
      <c r="D25" s="5" t="inlineStr">
        <is>
          <t>Tués sur les routes (pour 100 000 habitants)</t>
        </is>
      </c>
      <c r="E25" s="5" t="inlineStr">
        <is>
          <t>oui</t>
        </is>
      </c>
      <c r="F25" s="5" t="inlineStr">
        <is>
          <t>Nombre de personnes tuées dans un accident de la circulation routière (décès dans les 30 jours), rapporté à la population moyenne de l'année, pour 100 000 habitants (indicateur de développement durable de l'UE, …</t>
        </is>
      </c>
      <c r="G25" s="5" t="inlineStr">
        <is>
          <t>bas</t>
        </is>
      </c>
      <c r="H25" s="5" t="inlineStr">
        <is>
          <t>tués pour 100 000 habitants</t>
        </is>
      </c>
      <c r="I25" s="5" t="inlineStr">
        <is>
          <t>Eurostat, d'après la Commission européenne (DG Mobilité et transports) — sdg_11_40 — Décès sur les routes, par type de route</t>
        </is>
      </c>
      <c r="J25" s="5" t="inlineStr">
        <is>
          <t>sdg_11_40?freq=A&amp;tra_infr=TOTAL&amp;unit=RT&amp;geo=FR</t>
        </is>
      </c>
      <c r="K25" s="5" t="inlineStr">
        <is>
          <t>2000-2024 (25 points, annuelle)</t>
        </is>
      </c>
      <c r="L25" s="5" t="inlineStr">
        <is>
          <t>resultat</t>
        </is>
      </c>
      <c r="M25" s="5" t="inlineStr">
        <is>
          <t>non</t>
        </is>
      </c>
      <c r="N25" s="5" t="inlineStr">
        <is>
          <t>non</t>
        </is>
      </c>
      <c r="O25" s="5" t="inlineStr">
        <is>
          <t>non</t>
        </is>
      </c>
      <c r="P25" s="5" t="inlineStr">
        <is>
          <t>oui</t>
        </is>
      </c>
      <c r="Q25" s="5" t="inlineStr">
        <is>
          <t>retenir</t>
        </is>
      </c>
      <c r="R25" s="5" t="inlineStr">
        <is>
          <t>Indicateur des cadres OCDE (10_3), ODD 3.6 et objectif UE 2030, taux pour 100 000 habitants 2000-2024 sans lacune (13,3 en 2000, 4,6 en 2024) à champ mixte documenté (D32), proposé au socle (retenu_socle) au vu de l'arbitrage A6 et des cibles officielles.</t>
        </is>
      </c>
      <c r="S25" s="5" t="inlineStr">
        <is>
          <t>retenu_socle</t>
        </is>
      </c>
      <c r="T25" s="7" t="inlineStr">
        <is>
          <t>retenu_socle</t>
        </is>
      </c>
      <c r="U25" s="7" t="inlineStr"/>
    </row>
  </sheetData>
  <autoFilter ref="A1:U25"/>
  <conditionalFormatting sqref="A2:U25">
    <cfRule type="expression" priority="1" dxfId="0">
      <formula>$T2&lt;&gt;""</formula>
    </cfRule>
  </conditionalFormatting>
  <dataValidations count="1">
    <dataValidation sqref="T2:T25"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0" customWidth="1" min="1" max="1"/>
    <col width="18" customWidth="1" min="2" max="2"/>
    <col width="22" customWidth="1" min="3" max="3"/>
    <col width="30" customWidth="1" min="4" max="4"/>
  </cols>
  <sheetData>
    <row r="1">
      <c r="A1" s="8" t="inlineStr">
        <is>
          <t>Dimension</t>
        </is>
      </c>
      <c r="B1" s="9" t="inlineStr">
        <is>
          <t>Sécurité</t>
        </is>
      </c>
    </row>
    <row r="2">
      <c r="A2" s="8" t="inlineStr">
        <is>
          <t>Indicateurs candidats (fiches)</t>
        </is>
      </c>
      <c r="B2" s="9">
        <f>COUNTA(Validation!$C$2:$C$25)</f>
        <v/>
      </c>
    </row>
    <row r="3">
      <c r="A3" s="8" t="inlineStr">
        <is>
          <t>Familles distinctes</t>
        </is>
      </c>
      <c r="B3" s="9">
        <f>SUMPRODUCT((Validation!$B$2:$B$25&lt;&gt;"")/COUNTIF(Validation!$B$2:$B$25,Validation!$B$2:$B$25&amp;""))</f>
        <v/>
      </c>
    </row>
    <row r="4">
      <c r="A4" s="9" t="inlineStr"/>
      <c r="B4" s="9" t="inlineStr"/>
    </row>
    <row r="5">
      <c r="A5" s="8" t="inlineStr">
        <is>
          <t>Recommandations de l'agent</t>
        </is>
      </c>
      <c r="B5" s="9" t="inlineStr"/>
    </row>
    <row r="6">
      <c r="A6" s="9" t="inlineStr">
        <is>
          <t xml:space="preserve">  retenir</t>
        </is>
      </c>
      <c r="B6" s="9">
        <f>COUNTIF(Validation!$Q$2:$Q$25,"retenir")</f>
        <v/>
      </c>
    </row>
    <row r="7">
      <c r="A7" s="9" t="inlineStr">
        <is>
          <t xml:space="preserve">  retenir_variante</t>
        </is>
      </c>
      <c r="B7" s="9">
        <f>COUNTIF(Validation!$Q$2:$Q$25,"retenir_variante")</f>
        <v/>
      </c>
    </row>
    <row r="8">
      <c r="A8" s="9" t="inlineStr">
        <is>
          <t xml:space="preserve">  ecarter</t>
        </is>
      </c>
      <c r="B8" s="9">
        <f>COUNTIF(Validation!$Q$2:$Q$25,"ecarter")</f>
        <v/>
      </c>
    </row>
    <row r="9">
      <c r="A9" s="9" t="inlineStr"/>
      <c r="B9" s="9" t="inlineStr"/>
    </row>
    <row r="10">
      <c r="A10" s="8" t="inlineStr">
        <is>
          <t>Socle proposé par l'agent (D41)</t>
        </is>
      </c>
      <c r="B10" s="9">
        <f>COUNTIF(Validation!$P$2:$P$25,"oui")</f>
        <v/>
      </c>
    </row>
    <row r="11">
      <c r="A11" s="9" t="inlineStr"/>
      <c r="B11" s="9" t="inlineStr"/>
    </row>
    <row r="12">
      <c r="A12" s="8" t="inlineStr">
        <is>
          <t>Décisions par défaut</t>
        </is>
      </c>
      <c r="B12" s="9" t="inlineStr"/>
    </row>
    <row r="13">
      <c r="A13" s="9" t="inlineStr">
        <is>
          <t xml:space="preserve">  retenu_socle</t>
        </is>
      </c>
      <c r="B13" s="9">
        <f>COUNTIF(Validation!$S$2:$S$25,"retenu_socle")</f>
        <v/>
      </c>
    </row>
    <row r="14">
      <c r="A14" s="9" t="inlineStr">
        <is>
          <t xml:space="preserve">  retenu</t>
        </is>
      </c>
      <c r="B14" s="9">
        <f>COUNTIF(Validation!$S$2:$S$25,"retenu")</f>
        <v/>
      </c>
    </row>
    <row r="15">
      <c r="A15" s="9" t="inlineStr">
        <is>
          <t xml:space="preserve">  ecarte</t>
        </is>
      </c>
      <c r="B15" s="9">
        <f>COUNTIF(Validation!$S$2:$S$25,"ecarte")</f>
        <v/>
      </c>
    </row>
    <row r="16">
      <c r="A16" s="9" t="inlineStr">
        <is>
          <t xml:space="preserve">  a_discuter</t>
        </is>
      </c>
      <c r="B16" s="9">
        <f>COUNTIF(Validation!$S$2:$S$25,"a_discuter")</f>
        <v/>
      </c>
    </row>
    <row r="17">
      <c r="A17" s="9" t="inlineStr"/>
      <c r="B17" s="9" t="inlineStr"/>
    </row>
    <row r="18">
      <c r="A18" s="8" t="inlineStr">
        <is>
          <t>Vos décisions saisies (exceptions)</t>
        </is>
      </c>
      <c r="B18" s="9">
        <f>COUNTA(Validation!$T$2:$T$25)</f>
        <v/>
      </c>
    </row>
    <row r="19">
      <c r="A19" s="9" t="inlineStr">
        <is>
          <t xml:space="preserve">  dont retenu_socle</t>
        </is>
      </c>
      <c r="B19" s="9">
        <f>COUNTIF(Validation!$T$2:$T$25,"retenu_socle")</f>
        <v/>
      </c>
    </row>
    <row r="20">
      <c r="A20" s="9" t="inlineStr">
        <is>
          <t xml:space="preserve">  dont retenu</t>
        </is>
      </c>
      <c r="B20" s="9">
        <f>COUNTIF(Validation!$T$2:$T$25,"retenu")</f>
        <v/>
      </c>
    </row>
    <row r="21">
      <c r="A21" s="9" t="inlineStr">
        <is>
          <t xml:space="preserve">  dont ecarte</t>
        </is>
      </c>
      <c r="B21" s="9">
        <f>COUNTIF(Validation!$T$2:$T$25,"ecarte")</f>
        <v/>
      </c>
    </row>
    <row r="22">
      <c r="A22" s="9" t="inlineStr">
        <is>
          <t xml:space="preserve">  dont a_discuter</t>
        </is>
      </c>
      <c r="B22" s="9">
        <f>COUNTIF(Validation!$T$2:$T$25,"a_discuter")</f>
        <v/>
      </c>
    </row>
    <row r="24">
      <c r="A24" s="8" t="inlineStr">
        <is>
          <t>Socle par sous-thème (D41)</t>
        </is>
      </c>
      <c r="B24" s="8" t="inlineStr">
        <is>
          <t>Fiches</t>
        </is>
      </c>
      <c r="C24" s="8" t="inlineStr">
        <is>
          <t>retenu_socle par défaut</t>
        </is>
      </c>
      <c r="D24" s="8" t="inlineStr">
        <is>
          <t>retenu_socle après vos décisions</t>
        </is>
      </c>
    </row>
    <row r="25">
      <c r="A25" s="9" t="inlineStr">
        <is>
          <t>atteintes aux biens</t>
        </is>
      </c>
      <c r="B25" s="9">
        <f>COUNTIF(Validation!$A$2:$A$25,$A25)</f>
        <v/>
      </c>
      <c r="C25" s="9">
        <f>COUNTIFS(Validation!$A$2:$A$25,$A25,Validation!$S$2:$S$25,"retenu_socle")</f>
        <v/>
      </c>
      <c r="D25" s="9">
        <f>SUMPRODUCT((Validation!$A$2:$A$25=$A25)*(((Validation!$T$2:$T$25="")*(Validation!$S$2:$S$25="retenu_socle"))+(Validation!$T$2:$T$25="retenu_socle")))</f>
        <v/>
      </c>
    </row>
    <row r="26">
      <c r="A26" s="9" t="inlineStr">
        <is>
          <t>atteintes aux personnes</t>
        </is>
      </c>
      <c r="B26" s="9">
        <f>COUNTIF(Validation!$A$2:$A$25,$A26)</f>
        <v/>
      </c>
      <c r="C26" s="9">
        <f>COUNTIFS(Validation!$A$2:$A$25,$A26,Validation!$S$2:$S$25,"retenu_socle")</f>
        <v/>
      </c>
      <c r="D26" s="9">
        <f>SUMPRODUCT((Validation!$A$2:$A$25=$A26)*(((Validation!$T$2:$T$25="")*(Validation!$S$2:$S$25="retenu_socle"))+(Validation!$T$2:$T$25="retenu_socle")))</f>
        <v/>
      </c>
    </row>
    <row r="27">
      <c r="A27" s="9" t="inlineStr">
        <is>
          <t>sentiment d'insécurité</t>
        </is>
      </c>
      <c r="B27" s="9">
        <f>COUNTIF(Validation!$A$2:$A$25,$A27)</f>
        <v/>
      </c>
      <c r="C27" s="9">
        <f>COUNTIFS(Validation!$A$2:$A$25,$A27,Validation!$S$2:$S$25,"retenu_socle")</f>
        <v/>
      </c>
      <c r="D27" s="9">
        <f>SUMPRODUCT((Validation!$A$2:$A$25=$A27)*(((Validation!$T$2:$T$25="")*(Validation!$S$2:$S$25="retenu_socle"))+(Validation!$T$2:$T$25="retenu_socle")))</f>
        <v/>
      </c>
    </row>
    <row r="28">
      <c r="A28" s="9" t="inlineStr">
        <is>
          <t>sécurité des transports hors route</t>
        </is>
      </c>
      <c r="B28" s="9">
        <f>COUNTIF(Validation!$A$2:$A$25,$A28)</f>
        <v/>
      </c>
      <c r="C28" s="9">
        <f>COUNTIFS(Validation!$A$2:$A$25,$A28,Validation!$S$2:$S$25,"retenu_socle")</f>
        <v/>
      </c>
      <c r="D28" s="9">
        <f>SUMPRODUCT((Validation!$A$2:$A$25=$A28)*(((Validation!$T$2:$T$25="")*(Validation!$S$2:$S$25="retenu_socle"))+(Validation!$T$2:$T$25="retenu_socle")))</f>
        <v/>
      </c>
    </row>
    <row r="29">
      <c r="A29" s="9" t="inlineStr">
        <is>
          <t>sécurité routière</t>
        </is>
      </c>
      <c r="B29" s="9">
        <f>COUNTIF(Validation!$A$2:$A$25,$A29)</f>
        <v/>
      </c>
      <c r="C29" s="9">
        <f>COUNTIFS(Validation!$A$2:$A$25,$A29,Validation!$S$2:$S$25,"retenu_socle")</f>
        <v/>
      </c>
      <c r="D29" s="9">
        <f>SUMPRODUCT((Validation!$A$2:$A$25=$A29)*(((Validation!$T$2:$T$25="")*(Validation!$S$2:$S$25="retenu_socle"))+(Validation!$T$2:$T$25="retenu_socle")))</f>
        <v/>
      </c>
    </row>
    <row r="30">
      <c r="A30" s="8" t="inlineStr">
        <is>
          <t>Total</t>
        </is>
      </c>
      <c r="B30" s="8">
        <f>SUM(B25:B29)</f>
        <v/>
      </c>
      <c r="C30" s="8">
        <f>SUM(C25:C29)</f>
        <v/>
      </c>
      <c r="D30" s="8">
        <f>SUM(D25:D29)</f>
        <v/>
      </c>
    </row>
    <row r="32">
      <c r="A32"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2026-10-17T11:12:47Z</dcterms:created>
  <dcterms:modified xmlns:dcterms="http://purl.org/dc/terms/" xmlns:xsi="http://www.w3.org/2001/XMLSchema-instance" xsi:type="dcterms:W3CDTF">2026-10-17T11:12:47Z</dcterms:modified>
</cp:coreProperties>
</file>