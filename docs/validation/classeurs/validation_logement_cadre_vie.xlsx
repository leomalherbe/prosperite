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'Validation'!$A$1:$U$44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T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Gel 2 — validation des indicateurs de la dimension « Logement et cadre de vie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sous-thème puis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 xml:space="preserve">   « Socle proposé » = oui : l'agent propose de cocher l'indicateur par défaut (décision D41 : les incontournables et une fiche principale par sous-thème de la dimension, 8 au plus) ; sa décision par défaut est alors retenu_socle. L'onglet « Synthèse » compte le socle par sous-thème.</t>
        </is>
      </c>
    </row>
    <row r="7">
      <c r="A7" s="2" t="inlineStr">
        <is>
          <t>3. Ne remplissez la colonne jaune « Votre décision » que là où vous divergez ou hésitez. Valeurs possibles (liste déroulante) :</t>
        </is>
      </c>
    </row>
    <row r="8">
      <c r="A8" s="2" t="inlineStr">
        <is>
          <t xml:space="preserve">     retenu = disponible dans l'outil, non coché par défaut ;</t>
        </is>
      </c>
    </row>
    <row r="9">
      <c r="A9" s="2" t="inlineStr">
        <is>
          <t xml:space="preserve">     retenu_socle = disponible ET coché par défaut dans la configuration de référence ;</t>
        </is>
      </c>
    </row>
    <row r="10">
      <c r="A10" s="2" t="inlineStr">
        <is>
          <t xml:space="preserve">     ecarte = non retenu (indiquez pourquoi dans le commentaire) ;</t>
        </is>
      </c>
    </row>
    <row r="11">
      <c r="A11" s="2" t="inlineStr">
        <is>
          <t xml:space="preserve">     a_discuter = vous voulez en parler avant de trancher (la session mère vous posera la question).</t>
        </is>
      </c>
    </row>
    <row r="12">
      <c r="A12" s="2" t="inlineStr">
        <is>
          <t>4. Le commentaire est libre ; il est lu et conservé dans la fiche.</t>
        </is>
      </c>
    </row>
    <row r="13">
      <c r="A13" s="2" t="inlineStr">
        <is>
          <t>5. Enregistrez le fichier au même endroit, sous le même nom : la session mère le relit automatiquement.</t>
        </is>
      </c>
    </row>
    <row r="14">
      <c r="A14" s="2" t="inlineStr"/>
    </row>
    <row r="15">
      <c r="A15" s="3" t="inlineStr">
        <is>
          <t>Rappels</t>
        </is>
      </c>
    </row>
    <row r="16">
      <c r="A16" s="2" t="inlineStr">
        <is>
          <t>— Une famille regroupe des variantes d'un même concept (autre seuil, autre source, ventilation) : en général une seule variante est cochée par défaut.</t>
        </is>
      </c>
    </row>
    <row r="17">
      <c r="A17" s="2" t="inlineStr">
        <is>
          <t>— Le socle est une proposition : pour l'élargir, mettez retenu_socle sur d'autres lignes ; pour le réduire, mettez retenu sur une ligne proposée.</t>
        </is>
      </c>
    </row>
    <row r="18">
      <c r="A18" s="2" t="inlineStr">
        <is>
          <t>— « Incontournable » = présent dans au moins trois cadres de référence (Doughnut, Stiglitz-Sen-Fitoussi, OCDE, Eurostat, INSEE).</t>
        </is>
      </c>
    </row>
    <row r="19">
      <c r="A19" s="2" t="inlineStr">
        <is>
          <t>— « Déclaratif » = donnée d'enquête d'opinion ou de ressenti ; « Composite » = indice agrégé d'un producteur tiers (V-Dem, CPI…).</t>
        </is>
      </c>
    </row>
    <row r="20">
      <c r="A20" s="2" t="inlineStr">
        <is>
          <t>— Sens « ambigu » : l'agent n'a pas pu établir si plus haut est mieux ; ces lignes sont écartées par défaut.</t>
        </is>
      </c>
    </row>
    <row r="21">
      <c r="A21" s="2" t="inlineStr">
        <is>
          <t>— Les bornes (seuil minimal, objectif) ne sont pas traitées ici : elles viendront après le gel 2 (socle v1).</t>
        </is>
      </c>
    </row>
    <row r="22">
      <c r="A22" s="2" t="inlineStr"/>
    </row>
    <row r="23">
      <c r="A23"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8" customWidth="1" min="3" max="3"/>
    <col width="44" customWidth="1" min="4" max="4"/>
    <col width="11" customWidth="1" min="5" max="5"/>
    <col width="60" customWidth="1" min="6" max="6"/>
    <col width="8" customWidth="1" min="7" max="7"/>
    <col width="18" customWidth="1" min="8" max="8"/>
    <col width="36" customWidth="1" min="9" max="9"/>
    <col width="30" customWidth="1" min="10" max="10"/>
    <col width="22" customWidth="1" min="11" max="11"/>
    <col width="10" customWidth="1" min="12" max="12"/>
    <col width="10" customWidth="1" min="13" max="13"/>
    <col width="10" customWidth="1" min="14" max="14"/>
    <col width="13" customWidth="1" min="15" max="15"/>
    <col width="11" customWidth="1" min="16" max="16"/>
    <col width="16" customWidth="1" min="17" max="17"/>
    <col width="70" customWidth="1" min="18" max="18"/>
    <col width="18" customWidth="1" min="19" max="19"/>
    <col width="20" customWidth="1" min="20" max="20"/>
    <col width="40" customWidth="1" min="21" max="21"/>
  </cols>
  <sheetData>
    <row r="1" ht="42" customHeight="1">
      <c r="A1" s="4" t="inlineStr">
        <is>
          <t>Sous-thème</t>
        </is>
      </c>
      <c r="B1" s="4" t="inlineStr">
        <is>
          <t>Famille</t>
        </is>
      </c>
      <c r="C1" s="4" t="inlineStr">
        <is>
          <t>Identifiant</t>
        </is>
      </c>
      <c r="D1" s="4" t="inlineStr">
        <is>
          <t>Libellé</t>
        </is>
      </c>
      <c r="E1" s="4" t="inlineStr">
        <is>
          <t>Variante principale</t>
        </is>
      </c>
      <c r="F1" s="4" t="inlineStr">
        <is>
          <t>Définition courte</t>
        </is>
      </c>
      <c r="G1" s="4" t="inlineStr">
        <is>
          <t>Sens</t>
        </is>
      </c>
      <c r="H1" s="4" t="inlineStr">
        <is>
          <t>Unité</t>
        </is>
      </c>
      <c r="I1" s="4" t="inlineStr">
        <is>
          <t>Source</t>
        </is>
      </c>
      <c r="J1" s="4" t="inlineStr">
        <is>
          <t>Série (identifiant)</t>
        </is>
      </c>
      <c r="K1" s="4" t="inlineStr">
        <is>
          <t>Période</t>
        </is>
      </c>
      <c r="L1" s="4" t="inlineStr">
        <is>
          <t>Type</t>
        </is>
      </c>
      <c r="M1" s="4" t="inlineStr">
        <is>
          <t>Déclaratif</t>
        </is>
      </c>
      <c r="N1" s="4" t="inlineStr">
        <is>
          <t>Composite</t>
        </is>
      </c>
      <c r="O1" s="4" t="inlineStr">
        <is>
          <t>Incontournable</t>
        </is>
      </c>
      <c r="P1" s="4" t="inlineStr">
        <is>
          <t>Socle proposé</t>
        </is>
      </c>
      <c r="Q1" s="4" t="inlineStr">
        <is>
          <t>Recommandation de l'agent</t>
        </is>
      </c>
      <c r="R1" s="4" t="inlineStr">
        <is>
          <t>Motif de la recommandation</t>
        </is>
      </c>
      <c r="S1" s="4" t="inlineStr">
        <is>
          <t>Décision par défaut (si vous ne remplissez rien)</t>
        </is>
      </c>
      <c r="T1" s="4" t="inlineStr">
        <is>
          <t>Votre décision (liste déroulante)</t>
        </is>
      </c>
      <c r="U1" s="4" t="inlineStr">
        <is>
          <t>Votre commentaire</t>
        </is>
      </c>
    </row>
    <row r="2" ht="60" customHeight="1">
      <c r="A2" s="5" t="inlineStr">
        <is>
          <t>accès au logement et sans-abrisme</t>
        </is>
      </c>
      <c r="B2" s="5" t="inlineStr">
        <is>
          <t>connaissance_personne_sdf</t>
        </is>
      </c>
      <c r="C2" s="6" t="inlineStr">
        <is>
          <t>connaissance_personne_sdf</t>
        </is>
      </c>
      <c r="D2" s="5" t="inlineStr">
        <is>
          <t>Personnes connaissant quelqu'un de sans domicile fixe (baromètre DREES)</t>
        </is>
      </c>
      <c r="E2" s="5" t="inlineStr">
        <is>
          <t>oui</t>
        </is>
      </c>
      <c r="F2" s="5" t="inlineStr">
        <is>
          <t>Part des personnes interrogées par le baromètre d'opinion de la DREES qui déclarent connaître, dans leur famille ou en dehors, quelqu'un qui est sans domicile fixe, ou l'être elles-mêmes (question SDPROXIM_3 : « Dans …</t>
        </is>
      </c>
      <c r="G2" s="5" t="inlineStr">
        <is>
          <t>bas</t>
        </is>
      </c>
      <c r="H2" s="5" t="inlineStr">
        <is>
          <t>% des répondants</t>
        </is>
      </c>
      <c r="I2" s="5" t="inlineStr">
        <is>
          <t>DREES (baromètre d'opinion) — Baromètre d'opinion de la DREES (data.drees, jeu 431_le-barometre-d-opinion), microdonnées pondérées</t>
        </is>
      </c>
      <c r="J2" s="5" t="inlineStr">
        <is>
          <t>data.drees.solidarites-sante.gouv.fr, jeu 431_le-barometre-d-opinion, pièce jointe barometre2000_2025_diff_csv ; variable SDPROXIM_3, modalités 2 à 8</t>
        </is>
      </c>
      <c r="K2" s="5" t="inlineStr">
        <is>
          <t>2000-2025 (25 points, annuelle)</t>
        </is>
      </c>
      <c r="L2" s="5" t="inlineStr">
        <is>
          <t>resultat</t>
        </is>
      </c>
      <c r="M2" s="5" t="inlineStr">
        <is>
          <t>oui</t>
        </is>
      </c>
      <c r="N2" s="5" t="inlineStr">
        <is>
          <t>non</t>
        </is>
      </c>
      <c r="O2" s="5" t="inlineStr">
        <is>
          <t>non</t>
        </is>
      </c>
      <c r="P2" s="5" t="inlineStr">
        <is>
          <t>non</t>
        </is>
      </c>
      <c r="Q2" s="5" t="inlineStr">
        <is>
          <t>retenir</t>
        </is>
      </c>
      <c r="R2" s="5" t="inlineStr">
        <is>
          <t>Seule série annuelle approchant le sans-abrisme (D42), question posée 25 années de 2000 à 2025, part calculée sur les microdonnées du baromètre DREES entre 8,9 % (2021) et 16,0 % (2008), 9,3 % en 2025, non recoupée faute de valeur publiée mais contrôlée en plausibilité (D38 b).</t>
        </is>
      </c>
      <c r="S2" s="5" t="inlineStr">
        <is>
          <t>retenu</t>
        </is>
      </c>
      <c r="T2" s="7" t="inlineStr"/>
      <c r="U2" s="7" t="inlineStr"/>
    </row>
    <row r="3" ht="60" customHeight="1">
      <c r="A3" s="5" t="inlineStr">
        <is>
          <t>accès au logement et sans-abrisme</t>
        </is>
      </c>
      <c r="B3" s="5" t="inlineStr">
        <is>
          <t>preoccupation_logement</t>
        </is>
      </c>
      <c r="C3" s="6" t="inlineStr">
        <is>
          <t>preoccupation_logement</t>
        </is>
      </c>
      <c r="D3" s="5" t="inlineStr">
        <is>
          <t>Personnes préoccupées par le logement (baromètre DREES)</t>
        </is>
      </c>
      <c r="E3" s="5" t="inlineStr">
        <is>
          <t>oui</t>
        </is>
      </c>
      <c r="F3" s="5" t="inlineStr">
        <is>
          <t>Part des personnes interrogées par le baromètre d'opinion de la DREES qui se disent « beaucoup » ou « assez » préoccupées par le logement (question OG04_1 : « Êtes-vous personnellement préoccupé(e) par… le logement ? …</t>
        </is>
      </c>
      <c r="G3" s="5" t="inlineStr">
        <is>
          <t>bas</t>
        </is>
      </c>
      <c r="H3" s="5" t="inlineStr">
        <is>
          <t>% des répondants</t>
        </is>
      </c>
      <c r="I3" s="5" t="inlineStr">
        <is>
          <t>DREES (baromètre d'opinion) — Baromètre d'opinion de la DREES (data.drees, jeu 431_le-barometre-d-opinion), microdonnées pondérées</t>
        </is>
      </c>
      <c r="J3" s="5" t="inlineStr">
        <is>
          <t>data.drees.solidarites-sante.gouv.fr, jeu 431_le-barometre-d-opinion, pièce jointe barometre2000_2025_diff_csv ; variable OG04_1, modalités 1+2</t>
        </is>
      </c>
      <c r="K3" s="5" t="inlineStr">
        <is>
          <t>2014-2025 (12 points, annuelle)</t>
        </is>
      </c>
      <c r="L3" s="5" t="inlineStr">
        <is>
          <t>resultat</t>
        </is>
      </c>
      <c r="M3" s="5" t="inlineStr">
        <is>
          <t>oui</t>
        </is>
      </c>
      <c r="N3" s="5" t="inlineStr">
        <is>
          <t>non</t>
        </is>
      </c>
      <c r="O3" s="5" t="inlineStr">
        <is>
          <t>non</t>
        </is>
      </c>
      <c r="P3" s="5" t="inlineStr">
        <is>
          <t>non</t>
        </is>
      </c>
      <c r="Q3" s="5" t="inlineStr">
        <is>
          <t>retenir</t>
        </is>
      </c>
      <c r="R3" s="5" t="inlineStr">
        <is>
          <t>Seule mesure ressentie et annuelle de l'inquiétude pour le logement, posée chaque année de 2014 à 2025 (12 vagues), de 66,2 % à 55,4 % des répondants (minimum de 53,9 % en 2022), recalculée sur les microdonnées du baromètre DREES et identique en 2025 à la valeur publiée par la DREES (55,35 %).</t>
        </is>
      </c>
      <c r="S3" s="5" t="inlineStr">
        <is>
          <t>retenu</t>
        </is>
      </c>
      <c r="T3" s="7" t="inlineStr"/>
      <c r="U3" s="7" t="inlineStr"/>
    </row>
    <row r="4" ht="60" customHeight="1">
      <c r="A4" s="5" t="inlineStr">
        <is>
          <t>accès au logement et sans-abrisme</t>
        </is>
      </c>
      <c r="B4" s="5" t="inlineStr">
        <is>
          <t>proprietaires_occupants</t>
        </is>
      </c>
      <c r="C4" s="6" t="inlineStr">
        <is>
          <t>proprietaires_occupants</t>
        </is>
      </c>
      <c r="D4" s="5" t="inlineStr">
        <is>
          <t>Proportion de ménages propriétaires de leur résidence principale</t>
        </is>
      </c>
      <c r="E4" s="5" t="inlineStr">
        <is>
          <t>oui</t>
        </is>
      </c>
      <c r="F4" s="5" t="inlineStr">
        <is>
          <t>Part des résidences principales occupées par leur propriétaire (accédants et non accédants), estimation annuelle du parc de logements de l'INSEE, France hors Mayotte.</t>
        </is>
      </c>
      <c r="G4" s="5" t="inlineStr">
        <is>
          <t>ambigu</t>
        </is>
      </c>
      <c r="H4" s="5" t="inlineStr">
        <is>
          <t>% des résidences principales</t>
        </is>
      </c>
      <c r="I4" s="5" t="inlineStr">
        <is>
          <t>INSEE — BDM, estimation annuelle du parc de logements, série 001791247</t>
        </is>
      </c>
      <c r="J4" s="5" t="inlineStr">
        <is>
          <t>001791247</t>
        </is>
      </c>
      <c r="K4" s="5" t="inlineStr">
        <is>
          <t>1982-2026 (27 points, annuelle)</t>
        </is>
      </c>
      <c r="L4" s="5" t="inlineStr">
        <is>
          <t>resultat</t>
        </is>
      </c>
      <c r="M4" s="5" t="inlineStr">
        <is>
          <t>non</t>
        </is>
      </c>
      <c r="N4" s="5" t="inlineStr">
        <is>
          <t>non</t>
        </is>
      </c>
      <c r="O4" s="5" t="inlineStr">
        <is>
          <t>non</t>
        </is>
      </c>
      <c r="P4" s="5" t="inlineStr">
        <is>
          <t>non</t>
        </is>
      </c>
      <c r="Q4" s="5" t="inlineStr">
        <is>
          <t>ecarter</t>
        </is>
      </c>
      <c r="R4" s="5" t="inlineStr">
        <is>
          <t>Sens ambigu (l'accession à la propriété est un objectif public, mais une part plus élevée de propriétaires n'améliore pas en soi les conditions de logement), malgré une série INSEE annuelle de 1982 à 2026.</t>
        </is>
      </c>
      <c r="S4" s="5" t="inlineStr">
        <is>
          <t>ecarte</t>
        </is>
      </c>
      <c r="T4" s="7" t="inlineStr"/>
      <c r="U4" s="7" t="inlineStr"/>
    </row>
    <row r="5" ht="60" customHeight="1">
      <c r="A5" s="5" t="inlineStr">
        <is>
          <t>coût du logement</t>
        </is>
      </c>
      <c r="B5" s="5" t="inlineStr">
        <is>
          <t>charge_logement_lourde</t>
        </is>
      </c>
      <c r="C5" s="6" t="inlineStr">
        <is>
          <t>charge_logement_lourde</t>
        </is>
      </c>
      <c r="D5" s="5" t="inlineStr">
        <is>
          <t>Coût du logement ressenti comme une lourde charge</t>
        </is>
      </c>
      <c r="E5" s="5" t="inlineStr">
        <is>
          <t>oui</t>
        </is>
      </c>
      <c r="F5" s="5" t="inlineStr">
        <is>
          <t>Part de la population vivant dans un ménage qui déclare que le coût total du logement représente une lourde charge financière (EU-SILC ; autres réponses : une charge dans une certaine mesure, pas une charge).</t>
        </is>
      </c>
      <c r="G5" s="5" t="inlineStr">
        <is>
          <t>bas</t>
        </is>
      </c>
      <c r="H5" s="5" t="inlineStr">
        <is>
          <t>% de la population</t>
        </is>
      </c>
      <c r="I5" s="5" t="inlineStr">
        <is>
          <t>Eurostat — ilc_mded04 (charge financière du coût total du logement, EU-SILC)</t>
        </is>
      </c>
      <c r="J5" s="5" t="inlineStr">
        <is>
          <t>ilc_mded04?freq=A&amp;hhcomp=TOTAL&amp;rskpovth=TOTAL&amp;lev_bur=HVY&amp;unit=PC&amp;geo=FR</t>
        </is>
      </c>
      <c r="K5" s="5" t="inlineStr">
        <is>
          <t>2004-2023 (18 points, irreguliere)</t>
        </is>
      </c>
      <c r="L5" s="5" t="inlineStr">
        <is>
          <t>resultat</t>
        </is>
      </c>
      <c r="M5" s="5" t="inlineStr">
        <is>
          <t>oui</t>
        </is>
      </c>
      <c r="N5" s="5" t="inlineStr">
        <is>
          <t>non</t>
        </is>
      </c>
      <c r="O5" s="5" t="inlineStr">
        <is>
          <t>non</t>
        </is>
      </c>
      <c r="P5" s="5" t="inlineStr">
        <is>
          <t>non</t>
        </is>
      </c>
      <c r="Q5" s="5" t="inlineStr">
        <is>
          <t>retenir</t>
        </is>
      </c>
      <c r="R5" s="5" t="inlineStr">
        <is>
          <t>Seule mesure du poids ressenti du coût du logement, 18 valeurs de 2004 à 2023 (annuelles jusqu'en 2020, module triennal ensuite, D17).</t>
        </is>
      </c>
      <c r="S5" s="5" t="inlineStr">
        <is>
          <t>retenu</t>
        </is>
      </c>
      <c r="T5" s="7" t="inlineStr"/>
      <c r="U5" s="7" t="inlineStr"/>
    </row>
    <row r="6" ht="60" customHeight="1">
      <c r="A6" s="5" t="inlineStr">
        <is>
          <t>coût du logement</t>
        </is>
      </c>
      <c r="B6" s="5" t="inlineStr">
        <is>
          <t>hausse_loyers</t>
        </is>
      </c>
      <c r="C6" s="6" t="inlineStr">
        <is>
          <t>hausse_loyers</t>
        </is>
      </c>
      <c r="D6" s="5" t="inlineStr">
        <is>
          <t>Évolution annuelle des loyers (indice des prix à la consommation)</t>
        </is>
      </c>
      <c r="E6" s="5" t="inlineStr">
        <is>
          <t>oui</t>
        </is>
      </c>
      <c r="F6" s="5" t="inlineStr">
        <is>
          <t>Taux de variation annuel de l'indice annuel des prix à la consommation des loyers d'habitation effectivement payés (poste COICOP 04.1, ensemble des ménages, France, base 2025), calculé par le projet à partir de l'indice …</t>
        </is>
      </c>
      <c r="G6" s="5" t="inlineStr">
        <is>
          <t>bas</t>
        </is>
      </c>
      <c r="H6" s="5" t="inlineStr">
        <is>
          <t>% par an</t>
        </is>
      </c>
      <c r="I6" s="5" t="inlineStr">
        <is>
          <t>INSEE — BDM, indices des prix à la consommation base 2025, indice annuel des loyers d'habitation effectivement payés (série 011815635)</t>
        </is>
      </c>
      <c r="J6" s="5" t="inlineStr">
        <is>
          <t>011815635</t>
        </is>
      </c>
      <c r="K6" s="5" t="inlineStr">
        <is>
          <t>1997-2025 (26 points, annuelle)</t>
        </is>
      </c>
      <c r="L6" s="5" t="inlineStr">
        <is>
          <t>resultat</t>
        </is>
      </c>
      <c r="M6" s="5" t="inlineStr">
        <is>
          <t>non</t>
        </is>
      </c>
      <c r="N6" s="5" t="inlineStr">
        <is>
          <t>non</t>
        </is>
      </c>
      <c r="O6" s="5" t="inlineStr">
        <is>
          <t>non</t>
        </is>
      </c>
      <c r="P6" s="5" t="inlineStr">
        <is>
          <t>non</t>
        </is>
      </c>
      <c r="Q6" s="5" t="inlineStr">
        <is>
          <t>retenir</t>
        </is>
      </c>
      <c r="R6" s="5" t="inlineStr">
        <is>
          <t>Évolution des loyers payés par les locataires calculée sur l'indice annuel de l'INSEE (1996-2025, 26 taux depuis 2000), recoupée au dixième près avec les taux publiés de l'IPCH sur neuf années (D34, D42).</t>
        </is>
      </c>
      <c r="S6" s="5" t="inlineStr">
        <is>
          <t>retenu</t>
        </is>
      </c>
      <c r="T6" s="7" t="inlineStr"/>
      <c r="U6" s="7" t="inlineStr"/>
    </row>
    <row r="7" ht="60" customHeight="1">
      <c r="A7" s="5" t="inlineStr">
        <is>
          <t>coût du logement</t>
        </is>
      </c>
      <c r="B7" s="5" t="inlineStr">
        <is>
          <t>logements_commences</t>
        </is>
      </c>
      <c r="C7" s="6" t="inlineStr">
        <is>
          <t>logements_commences</t>
        </is>
      </c>
      <c r="D7" s="5" t="inlineStr">
        <is>
          <t>Logements commencés (cumul sur douze mois)</t>
        </is>
      </c>
      <c r="E7" s="5" t="inlineStr">
        <is>
          <t>oui</t>
        </is>
      </c>
      <c r="F7" s="5" t="inlineStr">
        <is>
          <t>Nombre de logements dont la construction a commencé au cours des douze derniers mois, estimations en date réelle (base Sitadel), France hors Mayotte.</t>
        </is>
      </c>
      <c r="G7" s="5" t="inlineStr">
        <is>
          <t>ambigu</t>
        </is>
      </c>
      <c r="H7" s="5" t="inlineStr">
        <is>
          <t>nombre de logements</t>
        </is>
      </c>
      <c r="I7" s="5" t="inlineStr">
        <is>
          <t>INSEE (données SDES, Sitadel) — BDM, construction de logements, série 001718270</t>
        </is>
      </c>
      <c r="J7" s="5" t="inlineStr">
        <is>
          <t>001718270</t>
        </is>
      </c>
      <c r="K7" s="5" t="inlineStr">
        <is>
          <t>2000-2026 (mensuelle)</t>
        </is>
      </c>
      <c r="L7" s="5" t="inlineStr">
        <is>
          <t>moyen</t>
        </is>
      </c>
      <c r="M7" s="5" t="inlineStr">
        <is>
          <t>non</t>
        </is>
      </c>
      <c r="N7" s="5" t="inlineStr">
        <is>
          <t>non</t>
        </is>
      </c>
      <c r="O7" s="5" t="inlineStr">
        <is>
          <t>non</t>
        </is>
      </c>
      <c r="P7" s="5" t="inlineStr">
        <is>
          <t>non</t>
        </is>
      </c>
      <c r="Q7" s="5" t="inlineStr">
        <is>
          <t>ecarter</t>
        </is>
      </c>
      <c r="R7" s="5" t="inlineStr">
        <is>
          <t>Sens ambigu pour le cadre de vie (offre de logements mais aussi artificialisation des sols), série mensuelle de l'INSEE de 2000 à 2026 sans série annuelle publiée.</t>
        </is>
      </c>
      <c r="S7" s="5" t="inlineStr">
        <is>
          <t>ecarte</t>
        </is>
      </c>
      <c r="T7" s="7" t="inlineStr"/>
      <c r="U7" s="7" t="inlineStr"/>
    </row>
    <row r="8" ht="60" customHeight="1">
      <c r="A8" s="5" t="inlineStr">
        <is>
          <t>coût du logement</t>
        </is>
      </c>
      <c r="B8" s="5" t="inlineStr">
        <is>
          <t>logements_sociaux</t>
        </is>
      </c>
      <c r="C8" s="6" t="inlineStr">
        <is>
          <t>logements_sociaux</t>
        </is>
      </c>
      <c r="D8" s="5" t="inlineStr">
        <is>
          <t>Logements sociaux pour 10 000 habitants</t>
        </is>
      </c>
      <c r="E8" s="5" t="inlineStr">
        <is>
          <t>oui</t>
        </is>
      </c>
      <c r="F8" s="5" t="inlineStr">
        <is>
          <t>Nombre de logements du parc locatif social (répertoire des logements locatifs des bailleurs sociaux, RPLS) pour 10 000 habitants, France.</t>
        </is>
      </c>
      <c r="G8" s="5" t="inlineStr">
        <is>
          <t>haut</t>
        </is>
      </c>
      <c r="H8" s="5" t="inlineStr">
        <is>
          <t>logements pour 10 000 habitants</t>
        </is>
      </c>
      <c r="I8" s="5" t="inlineStr">
        <is>
          <t>INSEE (données SDES, RPLS) — BDM, parc locatif social, série 001779870</t>
        </is>
      </c>
      <c r="J8" s="5" t="inlineStr">
        <is>
          <t>001779870</t>
        </is>
      </c>
      <c r="K8" s="5" t="inlineStr">
        <is>
          <t>2012-2025 (14 points, annuelle)</t>
        </is>
      </c>
      <c r="L8" s="5" t="inlineStr">
        <is>
          <t>moyen</t>
        </is>
      </c>
      <c r="M8" s="5" t="inlineStr">
        <is>
          <t>non</t>
        </is>
      </c>
      <c r="N8" s="5" t="inlineStr">
        <is>
          <t>non</t>
        </is>
      </c>
      <c r="O8" s="5" t="inlineStr">
        <is>
          <t>non</t>
        </is>
      </c>
      <c r="P8" s="5" t="inlineStr">
        <is>
          <t>non</t>
        </is>
      </c>
      <c r="Q8" s="5" t="inlineStr">
        <is>
          <t>retenir</t>
        </is>
      </c>
      <c r="R8" s="5" t="inlineStr">
        <is>
          <t>Seule mesure de l'offre de logements à loyer encadré, série INSEE annuelle de 2012 à 2025 (14 points d'après la long-list), admise comme indicateur de moyens (D19).</t>
        </is>
      </c>
      <c r="S8" s="5" t="inlineStr">
        <is>
          <t>retenu</t>
        </is>
      </c>
      <c r="T8" s="7" t="inlineStr"/>
      <c r="U8" s="7" t="inlineStr"/>
    </row>
    <row r="9" ht="60" customHeight="1">
      <c r="A9" s="5" t="inlineStr">
        <is>
          <t>coût du logement</t>
        </is>
      </c>
      <c r="B9" s="5" t="inlineStr">
        <is>
          <t>prix_logements_revenu</t>
        </is>
      </c>
      <c r="C9" s="6" t="inlineStr">
        <is>
          <t>prix_logements_revenu</t>
        </is>
      </c>
      <c r="D9" s="5" t="inlineStr">
        <is>
          <t>Prix des logements rapportés au revenu (ratio standardisé)</t>
        </is>
      </c>
      <c r="E9" s="5" t="inlineStr">
        <is>
          <t>oui</t>
        </is>
      </c>
      <c r="F9" s="5" t="inlineStr">
        <is>
          <t>Rapport entre l'indice des prix des logements et le revenu disponible nominal par habitant, exprimé par rapport à sa moyenne de long terme (Eurostat, tipsho60).</t>
        </is>
      </c>
      <c r="G9" s="5" t="inlineStr">
        <is>
          <t>bas</t>
        </is>
      </c>
      <c r="H9" s="5" t="inlineStr">
        <is>
          <t>indice (moyenne de long terme = 100)</t>
        </is>
      </c>
      <c r="I9" s="5" t="inlineStr">
        <is>
          <t>Eurostat — tipsho60 (ratio standardisé prix des logements sur revenu, données annuelles)</t>
        </is>
      </c>
      <c r="J9" s="5" t="inlineStr">
        <is>
          <t>tipsho60?freq=A&amp;unit=PTIR_LT_AVG&amp;geo=FR</t>
        </is>
      </c>
      <c r="K9" s="5" t="inlineStr">
        <is>
          <t>2000-2024 (25 points, annuelle)</t>
        </is>
      </c>
      <c r="L9" s="5" t="inlineStr">
        <is>
          <t>resultat</t>
        </is>
      </c>
      <c r="M9" s="5" t="inlineStr">
        <is>
          <t>non</t>
        </is>
      </c>
      <c r="N9" s="5" t="inlineStr">
        <is>
          <t>non</t>
        </is>
      </c>
      <c r="O9" s="5" t="inlineStr">
        <is>
          <t>non</t>
        </is>
      </c>
      <c r="P9" s="5" t="inlineStr">
        <is>
          <t>non</t>
        </is>
      </c>
      <c r="Q9" s="5" t="inlineStr">
        <is>
          <t>retenir</t>
        </is>
      </c>
      <c r="R9" s="5" t="inlineStr">
        <is>
          <t>Seule mesure du prix d'achat des logements rapporté au revenu, série Eurostat annuelle de 2000 à 2024 (25 points d'après la long-list).</t>
        </is>
      </c>
      <c r="S9" s="5" t="inlineStr">
        <is>
          <t>retenu</t>
        </is>
      </c>
      <c r="T9" s="7" t="inlineStr"/>
      <c r="U9" s="7" t="inlineStr"/>
    </row>
    <row r="10" ht="60" customHeight="1">
      <c r="A10" s="5" t="inlineStr">
        <is>
          <t>coût du logement</t>
        </is>
      </c>
      <c r="B10" s="5" t="inlineStr">
        <is>
          <t>surcharge_couts_logement</t>
        </is>
      </c>
      <c r="C10" s="6" t="inlineStr">
        <is>
          <t>surcharge_couts_logement</t>
        </is>
      </c>
      <c r="D10" s="5" t="inlineStr">
        <is>
          <t>Taux de surcharge des coûts du logement</t>
        </is>
      </c>
      <c r="E10" s="5" t="inlineStr">
        <is>
          <t>oui</t>
        </is>
      </c>
      <c r="F10" s="5" t="inlineStr">
        <is>
          <t>Part de la population vivant dans un ménage dont les coûts totaux du logement (loyer ou intérêts d'emprunt, charges, énergie, entretien), nets des allocations logement, dépassent 40 % du revenu disponible, lui aussi net …</t>
        </is>
      </c>
      <c r="G10" s="5" t="inlineStr">
        <is>
          <t>bas</t>
        </is>
      </c>
      <c r="H10" s="5" t="inlineStr">
        <is>
          <t>% de la population</t>
        </is>
      </c>
      <c r="I10" s="5" t="inlineStr">
        <is>
          <t>Eurostat — ilc_lvho07a (taux de surcharge des coûts du logement par âge, sexe et statut de pauvreté, EU-SILC)</t>
        </is>
      </c>
      <c r="J10" s="5" t="inlineStr">
        <is>
          <t>ilc_lvho07a?freq=A&amp;unit=PC&amp;rskpovth=TOTAL&amp;age=TOTAL&amp;sex=T&amp;geo=FR</t>
        </is>
      </c>
      <c r="K10" s="5" t="inlineStr">
        <is>
          <t>2004-2025 (21 points, annuelle)</t>
        </is>
      </c>
      <c r="L10" s="5" t="inlineStr">
        <is>
          <t>resultat</t>
        </is>
      </c>
      <c r="M10" s="5" t="inlineStr">
        <is>
          <t>non</t>
        </is>
      </c>
      <c r="N10" s="5" t="inlineStr">
        <is>
          <t>non</t>
        </is>
      </c>
      <c r="O10" s="5" t="inlineStr">
        <is>
          <t>non</t>
        </is>
      </c>
      <c r="P10" s="5" t="inlineStr">
        <is>
          <t>oui</t>
        </is>
      </c>
      <c r="Q10" s="5" t="inlineStr">
        <is>
          <t>retenir</t>
        </is>
      </c>
      <c r="R10" s="5" t="inlineStr">
        <is>
          <t>Indicateur du suivi des ODD de l'UE (sdg_01_50), voisin de l'indicateur How's Life 3_3 de l'OCDE (restreint aux 40 % les plus modestes), annuel de 2004 à 2025 (21 points, 2021 manquant), l'INSEE n'en publiant pas le niveau par API (D35).</t>
        </is>
      </c>
      <c r="S10" s="5" t="inlineStr">
        <is>
          <t>retenu_socle</t>
        </is>
      </c>
      <c r="T10" s="7" t="inlineStr"/>
      <c r="U10" s="7" t="inlineStr"/>
    </row>
    <row r="11" ht="60" customHeight="1">
      <c r="A11" s="5" t="inlineStr">
        <is>
          <t>coût du logement</t>
        </is>
      </c>
      <c r="B11" s="5" t="inlineStr">
        <is>
          <t>surcharge_couts_logement</t>
        </is>
      </c>
      <c r="C11" s="5" t="inlineStr">
        <is>
          <t>poids_logement_revenu</t>
        </is>
      </c>
      <c r="D11" s="5" t="inlineStr">
        <is>
          <t>Part de la dépense de logement dans le revenu disponible des ménages (comptes nationaux)</t>
        </is>
      </c>
      <c r="E11" s="5" t="inlineStr">
        <is>
          <t>non</t>
        </is>
      </c>
      <c r="F11" s="5" t="inlineStr">
        <is>
          <t>Dépense de consommation des ménages consacrée au logement (poste COICOP 04 : loyers effectifs et imputés, eau, énergie et entretien courant) rapportée à leur revenu disponible brut, en valeur (comptes nationaux annuels, …</t>
        </is>
      </c>
      <c r="G11" s="5" t="inlineStr">
        <is>
          <t>bas</t>
        </is>
      </c>
      <c r="H11" s="5" t="inlineStr">
        <is>
          <t>% du revenu disponible brut</t>
        </is>
      </c>
      <c r="I11" s="5" t="inlineStr">
        <is>
          <t>INSEE — Melodi DD_CNA_AGREGATS (comptes nationaux annuels), part de la dépense liée au logement dans le revenu disponible brut des ménages</t>
        </is>
      </c>
      <c r="J11" s="5" t="inlineStr">
        <is>
          <t>DD_CNA_AGREGATS?ACCOUNTING_ENTRY=_Z&amp;ACTIVITY=_T&amp;COUNTERPART_AREA=W2&amp;EXPENDITURE=CP04&amp;FREQ=A&amp;GEO=FRANCE-F&amp;INSTR_ASSET=_Z&amp;PRICES=V&amp;PRODUCT=_T&amp;REF_SECTOR=S14&amp;REF_YEAR_PRICE=&amp;STO=_DEP_LOGT_REVENU&amp;TRANSFORMATION=N&amp;UNIT_MEASURE=PT</t>
        </is>
      </c>
      <c r="K11" s="5" t="inlineStr">
        <is>
          <t>1959-2025 (26 points, annuelle)</t>
        </is>
      </c>
      <c r="L11" s="5" t="inlineStr">
        <is>
          <t>resultat</t>
        </is>
      </c>
      <c r="M11" s="5" t="inlineStr">
        <is>
          <t>non</t>
        </is>
      </c>
      <c r="N11" s="5" t="inlineStr">
        <is>
          <t>non</t>
        </is>
      </c>
      <c r="O11" s="5" t="inlineStr">
        <is>
          <t>non</t>
        </is>
      </c>
      <c r="P11" s="5" t="inlineStr">
        <is>
          <t>non</t>
        </is>
      </c>
      <c r="Q11" s="5" t="inlineStr">
        <is>
          <t>retenir_variante</t>
        </is>
      </c>
      <c r="R11" s="5" t="inlineStr">
        <is>
          <t>Seule mesure du poids du logement dans le revenu des ménages publiée par l'INSEE, annuelle de 1959 à 2025 (26 points depuis 2000), lecture macroéconomique complémentaire du taux de surcharge.</t>
        </is>
      </c>
      <c r="S11" s="5" t="inlineStr">
        <is>
          <t>retenu</t>
        </is>
      </c>
      <c r="T11" s="7" t="inlineStr"/>
      <c r="U11" s="7" t="inlineStr"/>
    </row>
    <row r="12" ht="60" customHeight="1">
      <c r="A12" s="5" t="inlineStr">
        <is>
          <t>coût du logement</t>
        </is>
      </c>
      <c r="B12" s="5" t="inlineStr">
        <is>
          <t>surcharge_couts_logement</t>
        </is>
      </c>
      <c r="C12" s="5" t="inlineStr">
        <is>
          <t>taux_effort_logement</t>
        </is>
      </c>
      <c r="D12" s="5" t="inlineStr">
        <is>
          <t>Taux d'effort médian pour le logement</t>
        </is>
      </c>
      <c r="E12" s="5" t="inlineStr">
        <is>
          <t>non</t>
        </is>
      </c>
      <c r="F12" s="5" t="inlineStr">
        <is>
          <t>Médiane, dans la population, de la part des coûts totaux du logement (nets des allocations logement) dans le revenu disponible du ménage (EU-SILC).</t>
        </is>
      </c>
      <c r="G12" s="5" t="inlineStr">
        <is>
          <t>bas</t>
        </is>
      </c>
      <c r="H12" s="5" t="inlineStr">
        <is>
          <t>% du revenu disponible</t>
        </is>
      </c>
      <c r="I12" s="5" t="inlineStr">
        <is>
          <t>Eurostat — ilc_lvho08a (médiane de la charge des coûts du logement par âge, sexe et statut de pauvreté, EU-SILC)</t>
        </is>
      </c>
      <c r="J12" s="5" t="inlineStr">
        <is>
          <t>ilc_lvho08a?freq=A&amp;unit=PC&amp;rskpovth=TOTAL&amp;age=TOTAL&amp;sex=T&amp;geo=FR</t>
        </is>
      </c>
      <c r="K12" s="5" t="inlineStr">
        <is>
          <t>2004-2025 (21 points, annuelle)</t>
        </is>
      </c>
      <c r="L12" s="5" t="inlineStr">
        <is>
          <t>resultat</t>
        </is>
      </c>
      <c r="M12" s="5" t="inlineStr">
        <is>
          <t>non</t>
        </is>
      </c>
      <c r="N12" s="5" t="inlineStr">
        <is>
          <t>non</t>
        </is>
      </c>
      <c r="O12" s="5" t="inlineStr">
        <is>
          <t>non</t>
        </is>
      </c>
      <c r="P12" s="5" t="inlineStr">
        <is>
          <t>non</t>
        </is>
      </c>
      <c r="Q12" s="5" t="inlineStr">
        <is>
          <t>retenir_variante</t>
        </is>
      </c>
      <c r="R12" s="5" t="inlineStr">
        <is>
          <t>Autre lecture de la famille surcharge_couts_logement (charge du ménage médian plutôt que part au-delà d'un seuil), série Eurostat annuelle de 2004 à 2025 (21 points d'après la long-list).</t>
        </is>
      </c>
      <c r="S12" s="5" t="inlineStr">
        <is>
          <t>retenu</t>
        </is>
      </c>
      <c r="T12" s="7" t="inlineStr"/>
      <c r="U12" s="7" t="inlineStr"/>
    </row>
    <row r="13" ht="60" customHeight="1">
      <c r="A13" s="5" t="inlineStr">
        <is>
          <t>eau du robinet</t>
        </is>
      </c>
      <c r="B13" s="5" t="inlineStr">
        <is>
          <t>conformite_eau_microbiologique</t>
        </is>
      </c>
      <c r="C13" s="6" t="inlineStr">
        <is>
          <t>conformite_eau_microbiologique</t>
        </is>
      </c>
      <c r="D13" s="5" t="inlineStr">
        <is>
          <t>Conformité microbiologique de l'eau du robinet</t>
        </is>
      </c>
      <c r="E13" s="5" t="inlineStr">
        <is>
          <t>oui</t>
        </is>
      </c>
      <c r="F13" s="5" t="inlineStr">
        <is>
          <t>Part des prélèvements d'eau distribuée (eau du robinet) conformes aux limites de qualité microbiologique, dans le cadre du contrôle sanitaire des agences régionales de santé (SDES-INSEE, indicateurs territoriaux de …</t>
        </is>
      </c>
      <c r="G13" s="5" t="inlineStr">
        <is>
          <t>haut</t>
        </is>
      </c>
      <c r="H13" s="5" t="inlineStr">
        <is>
          <t>% des prélèvements</t>
        </is>
      </c>
      <c r="I13" s="5" t="inlineStr">
        <is>
          <t>SDES-INSEE — Indicateurs territoriaux de développement durable, fichier France entière (DiDo), variable taux_conform_prelev_microbio</t>
        </is>
      </c>
      <c r="J13" s="5" t="inlineStr">
        <is>
          <t>DiDo SDES rid 305ea0e3-269b-47ee-bab5-7553fec6f010 (variable taux_conform_prelev_microbio)</t>
        </is>
      </c>
      <c r="K13" s="5" t="inlineStr">
        <is>
          <t>2008-2024 (17 points, annuelle)</t>
        </is>
      </c>
      <c r="L13" s="5" t="inlineStr">
        <is>
          <t>resultat</t>
        </is>
      </c>
      <c r="M13" s="5" t="inlineStr">
        <is>
          <t>non</t>
        </is>
      </c>
      <c r="N13" s="5" t="inlineStr">
        <is>
          <t>non</t>
        </is>
      </c>
      <c r="O13" s="5" t="inlineStr">
        <is>
          <t>non</t>
        </is>
      </c>
      <c r="P13" s="5" t="inlineStr">
        <is>
          <t>non</t>
        </is>
      </c>
      <c r="Q13" s="5" t="inlineStr">
        <is>
          <t>retenir</t>
        </is>
      </c>
      <c r="R13" s="5" t="inlineStr">
        <is>
          <t>Variante principale de la famille conformite_eau_microbiologique, série SDES-INSEE annuelle de 2008 à 2024 (17 points), plus longue et plus fraîche que la série complémentaire de l'INSEE (2010-2023).</t>
        </is>
      </c>
      <c r="S13" s="5" t="inlineStr">
        <is>
          <t>retenu</t>
        </is>
      </c>
      <c r="T13" s="7" t="inlineStr"/>
      <c r="U13" s="7" t="inlineStr"/>
    </row>
    <row r="14" ht="60" customHeight="1">
      <c r="A14" s="5" t="inlineStr">
        <is>
          <t>eau du robinet</t>
        </is>
      </c>
      <c r="B14" s="5" t="inlineStr">
        <is>
          <t>conformite_eau_physicochimique</t>
        </is>
      </c>
      <c r="C14" s="6" t="inlineStr">
        <is>
          <t>conformite_eau_physicochimique</t>
        </is>
      </c>
      <c r="D14" s="5" t="inlineStr">
        <is>
          <t>Conformité physico-chimique de l'eau du robinet</t>
        </is>
      </c>
      <c r="E14" s="5" t="inlineStr">
        <is>
          <t>oui</t>
        </is>
      </c>
      <c r="F14" s="5" t="inlineStr">
        <is>
          <t>Part des prélèvements d'eau distribuée conformes aux limites de qualité physico-chimiques (nitrates, pesticides, métaux et autres paramètres), dans le cadre du contrôle sanitaire des agences régionales de santé …</t>
        </is>
      </c>
      <c r="G14" s="5" t="inlineStr">
        <is>
          <t>haut</t>
        </is>
      </c>
      <c r="H14" s="5" t="inlineStr">
        <is>
          <t>% des prélèvements</t>
        </is>
      </c>
      <c r="I14" s="5" t="inlineStr">
        <is>
          <t>SDES-INSEE — Indicateurs territoriaux de développement durable, fichier France entière (DiDo), variable taux_conform_prelev_physico</t>
        </is>
      </c>
      <c r="J14" s="5" t="inlineStr">
        <is>
          <t>DiDo SDES rid 305ea0e3-269b-47ee-bab5-7553fec6f010 (variable taux_conform_prelev_physico)</t>
        </is>
      </c>
      <c r="K14" s="5" t="inlineStr">
        <is>
          <t>2008-2024 (17 points, annuelle)</t>
        </is>
      </c>
      <c r="L14" s="5" t="inlineStr">
        <is>
          <t>resultat</t>
        </is>
      </c>
      <c r="M14" s="5" t="inlineStr">
        <is>
          <t>non</t>
        </is>
      </c>
      <c r="N14" s="5" t="inlineStr">
        <is>
          <t>non</t>
        </is>
      </c>
      <c r="O14" s="5" t="inlineStr">
        <is>
          <t>non</t>
        </is>
      </c>
      <c r="P14" s="5" t="inlineStr">
        <is>
          <t>non</t>
        </is>
      </c>
      <c r="Q14" s="5" t="inlineStr">
        <is>
          <t>retenir</t>
        </is>
      </c>
      <c r="R14" s="5" t="inlineStr">
        <is>
          <t>Variante principale de la famille conformite_eau_physicochimique (concept complémentaire du risque microbiologique), série SDES-INSEE annuelle de 2008 à 2024 (17 points d'après la long-list).</t>
        </is>
      </c>
      <c r="S14" s="5" t="inlineStr">
        <is>
          <t>retenu</t>
        </is>
      </c>
      <c r="T14" s="7" t="inlineStr"/>
      <c r="U14" s="7" t="inlineStr"/>
    </row>
    <row r="15" ht="60" customHeight="1">
      <c r="A15" s="5" t="inlineStr">
        <is>
          <t>nuisances autour du logement</t>
        </is>
      </c>
      <c r="B15" s="5" t="inlineStr">
        <is>
          <t>nuisances_sonores</t>
        </is>
      </c>
      <c r="C15" s="6" t="inlineStr">
        <is>
          <t>nuisances_sonores</t>
        </is>
      </c>
      <c r="D15" s="5" t="inlineStr">
        <is>
          <t>Nuisances sonores des voisins ou de la rue</t>
        </is>
      </c>
      <c r="E15" s="5" t="inlineStr">
        <is>
          <t>oui</t>
        </is>
      </c>
      <c r="F15" s="5" t="inlineStr">
        <is>
          <t>Part de la population vivant dans un ménage qui déclare souffrir dans son logement du bruit des voisins ou de la rue (trafic, activités) (EU-SILC).</t>
        </is>
      </c>
      <c r="G15" s="5" t="inlineStr">
        <is>
          <t>bas</t>
        </is>
      </c>
      <c r="H15" s="5" t="inlineStr">
        <is>
          <t>% de la population</t>
        </is>
      </c>
      <c r="I15" s="5" t="inlineStr">
        <is>
          <t>Eurostat — ilc_mddw01 (nuisances sonores provenant des voisins ou de la voie publique, EU-SILC)</t>
        </is>
      </c>
      <c r="J15" s="5" t="inlineStr">
        <is>
          <t>ilc_mddw01?freq=A&amp;hhcomp=TOTAL&amp;rskpovth=TOTAL&amp;unit=PC&amp;geo=FR</t>
        </is>
      </c>
      <c r="K15" s="5" t="inlineStr">
        <is>
          <t>2004-2023 (18 points, irreguliere)</t>
        </is>
      </c>
      <c r="L15" s="5" t="inlineStr">
        <is>
          <t>resultat</t>
        </is>
      </c>
      <c r="M15" s="5" t="inlineStr">
        <is>
          <t>oui</t>
        </is>
      </c>
      <c r="N15" s="5" t="inlineStr">
        <is>
          <t>non</t>
        </is>
      </c>
      <c r="O15" s="5" t="inlineStr">
        <is>
          <t>non</t>
        </is>
      </c>
      <c r="P15" s="5" t="inlineStr">
        <is>
          <t>non</t>
        </is>
      </c>
      <c r="Q15" s="5" t="inlineStr">
        <is>
          <t>retenir</t>
        </is>
      </c>
      <c r="R15" s="5" t="inlineStr">
        <is>
          <t>Seule mesure disponible du bruit subi au logement (cadre Qualité de vie d'Eurostat, suivi ODD 11 de l'UE), 18 valeurs de 2004 à 2023 (annuelles jusqu'en 2020, module triennal ensuite, D17).</t>
        </is>
      </c>
      <c r="S15" s="5" t="inlineStr">
        <is>
          <t>retenu</t>
        </is>
      </c>
      <c r="T15" s="7" t="inlineStr"/>
      <c r="U15" s="7" t="inlineStr"/>
    </row>
    <row r="16" ht="60" customHeight="1">
      <c r="A16" s="5" t="inlineStr">
        <is>
          <t>nuisances autour du logement</t>
        </is>
      </c>
      <c r="B16" s="5" t="inlineStr">
        <is>
          <t>pollution_quartier</t>
        </is>
      </c>
      <c r="C16" s="6" t="inlineStr">
        <is>
          <t>pollution_quartier</t>
        </is>
      </c>
      <c r="D16" s="5" t="inlineStr">
        <is>
          <t>Pollution, saleté ou problèmes d'environnement dans le quartier</t>
        </is>
      </c>
      <c r="E16" s="5" t="inlineStr">
        <is>
          <t>oui</t>
        </is>
      </c>
      <c r="F16" s="5" t="inlineStr">
        <is>
          <t>Part de la population vivant dans un ménage qui déclare des problèmes de pollution, de saleté ou d'autres problèmes d'environnement dans son quartier, causés par le trafic ou l'industrie (EU-SILC).</t>
        </is>
      </c>
      <c r="G16" s="5" t="inlineStr">
        <is>
          <t>bas</t>
        </is>
      </c>
      <c r="H16" s="5" t="inlineStr">
        <is>
          <t>% de la population</t>
        </is>
      </c>
      <c r="I16" s="5" t="inlineStr">
        <is>
          <t>Eurostat — ilc_mddw02 (pollution, saleté ou autres problèmes environnementaux, EU-SILC)</t>
        </is>
      </c>
      <c r="J16" s="5" t="inlineStr">
        <is>
          <t>ilc_mddw02?freq=A&amp;hhcomp=TOTAL&amp;rskpovth=TOTAL&amp;unit=PC&amp;geo=FR</t>
        </is>
      </c>
      <c r="K16" s="5" t="inlineStr">
        <is>
          <t>2004-2023 (18 points, irreguliere)</t>
        </is>
      </c>
      <c r="L16" s="5" t="inlineStr">
        <is>
          <t>resultat</t>
        </is>
      </c>
      <c r="M16" s="5" t="inlineStr">
        <is>
          <t>oui</t>
        </is>
      </c>
      <c r="N16" s="5" t="inlineStr">
        <is>
          <t>non</t>
        </is>
      </c>
      <c r="O16" s="5" t="inlineStr">
        <is>
          <t>oui</t>
        </is>
      </c>
      <c r="P16" s="5" t="inlineStr">
        <is>
          <t>oui</t>
        </is>
      </c>
      <c r="Q16" s="5" t="inlineStr">
        <is>
          <t>retenir</t>
        </is>
      </c>
      <c r="R16" s="5" t="inlineStr">
        <is>
          <t>Indicateur phare de l'environnement de vie dans le cadre Qualité de vie d'Eurostat (concept incontournable de la pollution de l'air locale), 18 valeurs de 2004 à 2023 d'après la long-list (annuelles jusqu'en 2020, puis 2023, D17).</t>
        </is>
      </c>
      <c r="S16" s="5" t="inlineStr">
        <is>
          <t>retenu_socle</t>
        </is>
      </c>
      <c r="T16" s="7" t="inlineStr"/>
      <c r="U16" s="7" t="inlineStr"/>
    </row>
    <row r="17" ht="60" customHeight="1">
      <c r="A17" s="5" t="inlineStr">
        <is>
          <t>numérique</t>
        </is>
      </c>
      <c r="B17" s="5" t="inlineStr">
        <is>
          <t>acces_internet_domicile</t>
        </is>
      </c>
      <c r="C17" s="6" t="inlineStr">
        <is>
          <t>acces_internet_domicile</t>
        </is>
      </c>
      <c r="D17" s="5" t="inlineStr">
        <is>
          <t>Ménages ayant accès à internet à domicile</t>
        </is>
      </c>
      <c r="E17" s="5" t="inlineStr">
        <is>
          <t>oui</t>
        </is>
      </c>
      <c r="F17" s="5" t="inlineStr">
        <is>
          <t>Part des ménages comptant au moins une personne de 16 à 74 ans qui disposent d'un accès à internet à domicile (enquête européenne sur l'usage des technologies de l'information par les ménages, Eurostat).</t>
        </is>
      </c>
      <c r="G17" s="5" t="inlineStr">
        <is>
          <t>haut</t>
        </is>
      </c>
      <c r="H17" s="5" t="inlineStr">
        <is>
          <t>% des ménages</t>
        </is>
      </c>
      <c r="I17" s="5" t="inlineStr">
        <is>
          <t>Eurostat — isoc_ci_in_h (ménages, niveau d'accès à l'internet)</t>
        </is>
      </c>
      <c r="J17" s="5" t="inlineStr">
        <is>
          <t>isoc_ci_in_h?freq=A&amp;unit=PC_HH&amp;hhtyp=TOTAL&amp;geo=FR</t>
        </is>
      </c>
      <c r="K17" s="5" t="inlineStr">
        <is>
          <t>2002-2025 (22 points, annuelle)</t>
        </is>
      </c>
      <c r="L17" s="5" t="inlineStr">
        <is>
          <t>resultat</t>
        </is>
      </c>
      <c r="M17" s="5" t="inlineStr">
        <is>
          <t>non</t>
        </is>
      </c>
      <c r="N17" s="5" t="inlineStr">
        <is>
          <t>non</t>
        </is>
      </c>
      <c r="O17" s="5" t="inlineStr">
        <is>
          <t>non</t>
        </is>
      </c>
      <c r="P17" s="5" t="inlineStr">
        <is>
          <t>oui</t>
        </is>
      </c>
      <c r="Q17" s="5" t="inlineStr">
        <is>
          <t>retenir</t>
        </is>
      </c>
      <c r="R17" s="5" t="inlineStr">
        <is>
          <t>Variante principale de la famille acces_internet_domicile (accès au numérique, A7 ; OCDE How's Life 3_4), série Eurostat de 2002 à 2025 (22 points), plus longue que la série INSEE de même enquête (2009-2025, D35).</t>
        </is>
      </c>
      <c r="S17" s="5" t="inlineStr">
        <is>
          <t>retenu_socle</t>
        </is>
      </c>
      <c r="T17" s="7" t="inlineStr"/>
      <c r="U17" s="7" t="inlineStr"/>
    </row>
    <row r="18" ht="60" customHeight="1">
      <c r="A18" s="5" t="inlineStr">
        <is>
          <t>numérique</t>
        </is>
      </c>
      <c r="B18" s="5" t="inlineStr">
        <is>
          <t>acces_internet_domicile</t>
        </is>
      </c>
      <c r="C18" s="5" t="inlineStr">
        <is>
          <t>haut_debit_domicile</t>
        </is>
      </c>
      <c r="D18" s="5" t="inlineStr">
        <is>
          <t>Connexion à haut débit à domicile</t>
        </is>
      </c>
      <c r="E18" s="5" t="inlineStr">
        <is>
          <t>non</t>
        </is>
      </c>
      <c r="F18" s="5" t="inlineStr">
        <is>
          <t>Part des personnes de 15 ans ou plus disposant à leur domicile d'une connexion à internet à haut débit, fixe ou mobile (INSEE, enquête sur les technologies de l'information et de la communication auprès des ménages).</t>
        </is>
      </c>
      <c r="G18" s="5" t="inlineStr">
        <is>
          <t>haut</t>
        </is>
      </c>
      <c r="H18" s="5" t="inlineStr">
        <is>
          <t>% des personnes de 15 ans ou plus</t>
        </is>
      </c>
      <c r="I18" s="5" t="inlineStr">
        <is>
          <t>INSEE — Melodi DS_TICM_EQUIPEMENT (équipement des ménages en internet), mesure HAUT_DEBIT</t>
        </is>
      </c>
      <c r="J18" s="5" t="inlineStr">
        <is>
          <t>DS_TICM_EQUIPEMENT?AGE=_T&amp;EDUC=_T&amp;EMPSTA=_T&amp;FREQ=A&amp;MUN_DENSITY_LEVEL=_T&amp;PCS_ESE=_T&amp;QUANTILE_NIVVIE=_T&amp;SEX=_T&amp;TICM_MEASURE=HAUT_DEBIT</t>
        </is>
      </c>
      <c r="K18" s="5" t="inlineStr">
        <is>
          <t>2009-2025 (16 points, annuelle)</t>
        </is>
      </c>
      <c r="L18" s="5" t="inlineStr">
        <is>
          <t>resultat</t>
        </is>
      </c>
      <c r="M18" s="5" t="inlineStr">
        <is>
          <t>non</t>
        </is>
      </c>
      <c r="N18" s="5" t="inlineStr">
        <is>
          <t>non</t>
        </is>
      </c>
      <c r="O18" s="5" t="inlineStr">
        <is>
          <t>non</t>
        </is>
      </c>
      <c r="P18" s="5" t="inlineStr">
        <is>
          <t>non</t>
        </is>
      </c>
      <c r="Q18" s="5" t="inlineStr">
        <is>
          <t>retenir_variante</t>
        </is>
      </c>
      <c r="R18" s="5" t="inlineStr">
        <is>
          <t>Autre statistique de la famille acces_internet_domicile (qualité de la connexion), série INSEE annuelle de 2009 à 2025 (16 points d'après la long-list), plus longue que l'indicateur ODD de l'INSEE (2010-2025).</t>
        </is>
      </c>
      <c r="S18" s="5" t="inlineStr">
        <is>
          <t>retenu</t>
        </is>
      </c>
      <c r="T18" s="7" t="inlineStr"/>
      <c r="U18" s="7" t="inlineStr"/>
    </row>
    <row r="19" ht="60" customHeight="1">
      <c r="A19" s="5" t="inlineStr">
        <is>
          <t>numérique</t>
        </is>
      </c>
      <c r="B19" s="5" t="inlineStr">
        <is>
          <t>administration_en_ligne</t>
        </is>
      </c>
      <c r="C19" s="6" t="inlineStr">
        <is>
          <t>administration_en_ligne</t>
        </is>
      </c>
      <c r="D19" s="5" t="inlineStr">
        <is>
          <t>Recours aux services de l'administration en ligne</t>
        </is>
      </c>
      <c r="E19" s="5" t="inlineStr">
        <is>
          <t>oui</t>
        </is>
      </c>
      <c r="F19" s="5" t="inlineStr">
        <is>
          <t>Part des personnes de 15 ans ou plus ayant utilisé, au cours des douze derniers mois, les services de l'administration en ligne (INSEE, enquête sur les technologies de l'information et de la communication).</t>
        </is>
      </c>
      <c r="G19" s="5" t="inlineStr">
        <is>
          <t>haut</t>
        </is>
      </c>
      <c r="H19" s="5" t="inlineStr">
        <is>
          <t>% des personnes de 15 ans ou plus</t>
        </is>
      </c>
      <c r="I19" s="5" t="inlineStr">
        <is>
          <t>INSEE — Melodi DS_TICM_PRATIQUES (pratiques en ligne des personnes), mesure EGOV_12MOIS</t>
        </is>
      </c>
      <c r="J19" s="5" t="inlineStr">
        <is>
          <t>DS_TICM_PRATIQUES?AGE=_T&amp;EDUC=_T&amp;EMPSTA=_T&amp;FREQ=A&amp;PCS_ESE=_T&amp;SEX=_T&amp;TICM_MEASURE=EGOV_12MOIS</t>
        </is>
      </c>
      <c r="K19" s="5" t="inlineStr">
        <is>
          <t>2009-2025 (16 points, annuelle)</t>
        </is>
      </c>
      <c r="L19" s="5" t="inlineStr">
        <is>
          <t>resultat</t>
        </is>
      </c>
      <c r="M19" s="5" t="inlineStr">
        <is>
          <t>non</t>
        </is>
      </c>
      <c r="N19" s="5" t="inlineStr">
        <is>
          <t>non</t>
        </is>
      </c>
      <c r="O19" s="5" t="inlineStr">
        <is>
          <t>non</t>
        </is>
      </c>
      <c r="P19" s="5" t="inlineStr">
        <is>
          <t>non</t>
        </is>
      </c>
      <c r="Q19" s="5" t="inlineStr">
        <is>
          <t>retenir</t>
        </is>
      </c>
      <c r="R19" s="5" t="inlineStr">
        <is>
          <t>Seule série continue du recours à l'administration en ligne (rattachement D33), INSEE annuelle de 2009 à 2025 (16 points), la série européenne étant interrompue en 2021.</t>
        </is>
      </c>
      <c r="S19" s="5" t="inlineStr">
        <is>
          <t>retenu</t>
        </is>
      </c>
      <c r="T19" s="7" t="inlineStr"/>
      <c r="U19" s="7" t="inlineStr"/>
    </row>
    <row r="20" ht="60" customHeight="1">
      <c r="A20" s="5" t="inlineStr">
        <is>
          <t>numérique</t>
        </is>
      </c>
      <c r="B20" s="5" t="inlineStr">
        <is>
          <t>couverture_fibre</t>
        </is>
      </c>
      <c r="C20" s="6" t="inlineStr">
        <is>
          <t>couverture_fibre</t>
        </is>
      </c>
      <c r="D20" s="5" t="inlineStr">
        <is>
          <t>Ménages couverts par la fibre optique</t>
        </is>
      </c>
      <c r="E20" s="5" t="inlineStr">
        <is>
          <t>oui</t>
        </is>
      </c>
      <c r="F20" s="5" t="inlineStr">
        <is>
          <t>Part des ménages dont le logement est couvert par un réseau en fibre optique jusqu'aux locaux (FTTP) (Eurostat, couverture du haut débit).</t>
        </is>
      </c>
      <c r="G20" s="5" t="inlineStr">
        <is>
          <t>haut</t>
        </is>
      </c>
      <c r="H20" s="5" t="inlineStr">
        <is>
          <t>% des ménages</t>
        </is>
      </c>
      <c r="I20" s="5" t="inlineStr">
        <is>
          <t>Eurostat — isoc_cbt (couverture internet à haut débit par technologie)</t>
        </is>
      </c>
      <c r="J20" s="5" t="inlineStr">
        <is>
          <t>isoc_cbt?freq=A&amp;unit=PC_HH&amp;inet_tec=FTTP&amp;terrtypo=TOTAL&amp;geo=FR</t>
        </is>
      </c>
      <c r="K20" s="5" t="inlineStr">
        <is>
          <t>2013-2025 (13 points, annuelle)</t>
        </is>
      </c>
      <c r="L20" s="5" t="inlineStr">
        <is>
          <t>moyen</t>
        </is>
      </c>
      <c r="M20" s="5" t="inlineStr">
        <is>
          <t>non</t>
        </is>
      </c>
      <c r="N20" s="5" t="inlineStr">
        <is>
          <t>non</t>
        </is>
      </c>
      <c r="O20" s="5" t="inlineStr">
        <is>
          <t>non</t>
        </is>
      </c>
      <c r="P20" s="5" t="inlineStr">
        <is>
          <t>non</t>
        </is>
      </c>
      <c r="Q20" s="5" t="inlineStr">
        <is>
          <t>retenir</t>
        </is>
      </c>
      <c r="R20" s="5" t="inlineStr">
        <is>
          <t>Seule mesure annuelle de l'infrastructure numérique (A5, A7), série Eurostat de 2013 à 2025 (13 points d'après la long-list), admise comme indicateur de moyens adossé à des objectifs publics de couverture (D19).</t>
        </is>
      </c>
      <c r="S20" s="5" t="inlineStr">
        <is>
          <t>retenu</t>
        </is>
      </c>
      <c r="T20" s="7" t="inlineStr"/>
      <c r="U20" s="7" t="inlineStr"/>
    </row>
    <row r="21" ht="60" customHeight="1">
      <c r="A21" s="5" t="inlineStr">
        <is>
          <t>numérique</t>
        </is>
      </c>
      <c r="B21" s="5" t="inlineStr">
        <is>
          <t>privation_internet</t>
        </is>
      </c>
      <c r="C21" s="6" t="inlineStr">
        <is>
          <t>privation_internet</t>
        </is>
      </c>
      <c r="D21" s="5" t="inlineStr">
        <is>
          <t>Personnes n'ayant pas les moyens d'une connexion internet à domicile</t>
        </is>
      </c>
      <c r="E21" s="5" t="inlineStr">
        <is>
          <t>oui</t>
        </is>
      </c>
      <c r="F21" s="5" t="inlineStr">
        <is>
          <t>Part de la population vivant dans un ménage qui n'a pas de connexion internet à domicile pour un usage personnel parce qu'il n'en a pas les moyens (EU-SILC).</t>
        </is>
      </c>
      <c r="G21" s="5" t="inlineStr">
        <is>
          <t>bas</t>
        </is>
      </c>
      <c r="H21" s="5" t="inlineStr">
        <is>
          <t>% de la population</t>
        </is>
      </c>
      <c r="I21" s="5" t="inlineStr">
        <is>
          <t>Eurostat — ilc_mddu07a (personnes n'ayant pas les moyens d'une connexion internet à domicile, EU-SILC)</t>
        </is>
      </c>
      <c r="J21" s="5" t="inlineStr">
        <is>
          <t>ilc_mddu07a?freq=A&amp;unit=PC&amp;rskpovth=TOTAL&amp;age=TOTAL&amp;sex=T&amp;geo=FR</t>
        </is>
      </c>
      <c r="K21" s="5" t="inlineStr">
        <is>
          <t>2014-2025 (12 points, annuelle)</t>
        </is>
      </c>
      <c r="L21" s="5" t="inlineStr">
        <is>
          <t>resultat</t>
        </is>
      </c>
      <c r="M21" s="5" t="inlineStr">
        <is>
          <t>non</t>
        </is>
      </c>
      <c r="N21" s="5" t="inlineStr">
        <is>
          <t>non</t>
        </is>
      </c>
      <c r="O21" s="5" t="inlineStr">
        <is>
          <t>non</t>
        </is>
      </c>
      <c r="P21" s="5" t="inlineStr">
        <is>
          <t>non</t>
        </is>
      </c>
      <c r="Q21" s="5" t="inlineStr">
        <is>
          <t>retenir</t>
        </is>
      </c>
      <c r="R21" s="5" t="inlineStr">
        <is>
          <t>Variante principale de la famille privation_internet (privation numérique pour raisons financières), série Eurostat annuelle de 2014 à 2025 (12 points), élément de la privation matérielle et sociale de l'UE ; la privation d'ordinateur, plus longue (2004-2025), est en variante.</t>
        </is>
      </c>
      <c r="S21" s="5" t="inlineStr">
        <is>
          <t>retenu</t>
        </is>
      </c>
      <c r="T21" s="7" t="inlineStr"/>
      <c r="U21" s="7" t="inlineStr"/>
    </row>
    <row r="22" ht="60" customHeight="1">
      <c r="A22" s="5" t="inlineStr">
        <is>
          <t>numérique</t>
        </is>
      </c>
      <c r="B22" s="5" t="inlineStr">
        <is>
          <t>privation_internet</t>
        </is>
      </c>
      <c r="C22" s="5" t="inlineStr">
        <is>
          <t>privation_ordinateur</t>
        </is>
      </c>
      <c r="D22" s="5" t="inlineStr">
        <is>
          <t>Personnes n'ayant pas les moyens de posséder un ordinateur</t>
        </is>
      </c>
      <c r="E22" s="5" t="inlineStr">
        <is>
          <t>non</t>
        </is>
      </c>
      <c r="F22" s="5" t="inlineStr">
        <is>
          <t>Part de la population vivant dans un ménage qui ne possède pas d'ordinateur parce qu'il n'en a pas les moyens (EU-SILC).</t>
        </is>
      </c>
      <c r="G22" s="5" t="inlineStr">
        <is>
          <t>bas</t>
        </is>
      </c>
      <c r="H22" s="5" t="inlineStr">
        <is>
          <t>% de la population</t>
        </is>
      </c>
      <c r="I22" s="5" t="inlineStr">
        <is>
          <t>Eurostat — ilc_mddu03 (personnes n'ayant pas les moyens de posséder un ordinateur, EU-SILC)</t>
        </is>
      </c>
      <c r="J22" s="5" t="inlineStr">
        <is>
          <t>ilc_mddu03?freq=A&amp;hhcomp=TOTAL&amp;rskpovth=TOTAL&amp;unit=PC&amp;geo=FR</t>
        </is>
      </c>
      <c r="K22" s="5" t="inlineStr">
        <is>
          <t>2004-2025 (22 points, annuelle)</t>
        </is>
      </c>
      <c r="L22" s="5" t="inlineStr">
        <is>
          <t>resultat</t>
        </is>
      </c>
      <c r="M22" s="5" t="inlineStr">
        <is>
          <t>non</t>
        </is>
      </c>
      <c r="N22" s="5" t="inlineStr">
        <is>
          <t>non</t>
        </is>
      </c>
      <c r="O22" s="5" t="inlineStr">
        <is>
          <t>non</t>
        </is>
      </c>
      <c r="P22" s="5" t="inlineStr">
        <is>
          <t>non</t>
        </is>
      </c>
      <c r="Q22" s="5" t="inlineStr">
        <is>
          <t>retenir_variante</t>
        </is>
      </c>
      <c r="R22" s="5" t="inlineStr">
        <is>
          <t>Autre lecture de la famille privation_internet (équipement plutôt que connexion), série Eurostat annuelle de 2004 à 2025 (22 points), qui couvre les dix années antérieures à la principale et remonte depuis 2015 quand la privation d'internet baisse.</t>
        </is>
      </c>
      <c r="S22" s="5" t="inlineStr">
        <is>
          <t>retenu</t>
        </is>
      </c>
      <c r="T22" s="7" t="inlineStr"/>
      <c r="U22" s="7" t="inlineStr"/>
    </row>
    <row r="23" ht="60" customHeight="1">
      <c r="A23" s="5" t="inlineStr">
        <is>
          <t>numérique</t>
        </is>
      </c>
      <c r="B23" s="5" t="inlineStr">
        <is>
          <t>usage_internet</t>
        </is>
      </c>
      <c r="C23" s="6" t="inlineStr">
        <is>
          <t>usage_internet</t>
        </is>
      </c>
      <c r="D23" s="5" t="inlineStr">
        <is>
          <t>Usage d'internet au cours des trois derniers mois</t>
        </is>
      </c>
      <c r="E23" s="5" t="inlineStr">
        <is>
          <t>oui</t>
        </is>
      </c>
      <c r="F23" s="5" t="inlineStr">
        <is>
          <t>Part des personnes de 16 à 74 ans ayant utilisé internet au cours des trois derniers mois (enquête européenne sur l'usage des technologies de l'information par les particuliers, Eurostat).</t>
        </is>
      </c>
      <c r="G23" s="5" t="inlineStr">
        <is>
          <t>haut</t>
        </is>
      </c>
      <c r="H23" s="5" t="inlineStr">
        <is>
          <t>% des personnes de 16 à 74 ans</t>
        </is>
      </c>
      <c r="I23" s="5" t="inlineStr">
        <is>
          <t>Eurostat — isoc_ci_ifp_iu (particuliers, utilisation de l'internet)</t>
        </is>
      </c>
      <c r="J23" s="5" t="inlineStr">
        <is>
          <t>isoc_ci_ifp_iu?freq=A&amp;indic_is=I_IU3&amp;unit=PC_IND&amp;ind_type=IND_TOTAL&amp;geo=FR</t>
        </is>
      </c>
      <c r="K23" s="5" t="inlineStr">
        <is>
          <t>2006-2025 (19 points, annuelle)</t>
        </is>
      </c>
      <c r="L23" s="5" t="inlineStr">
        <is>
          <t>resultat</t>
        </is>
      </c>
      <c r="M23" s="5" t="inlineStr">
        <is>
          <t>non</t>
        </is>
      </c>
      <c r="N23" s="5" t="inlineStr">
        <is>
          <t>non</t>
        </is>
      </c>
      <c r="O23" s="5" t="inlineStr">
        <is>
          <t>non</t>
        </is>
      </c>
      <c r="P23" s="5" t="inlineStr">
        <is>
          <t>non</t>
        </is>
      </c>
      <c r="Q23" s="5" t="inlineStr">
        <is>
          <t>retenir</t>
        </is>
      </c>
      <c r="R23" s="5" t="inlineStr">
        <is>
          <t>Variante principale de la famille usage_internet (A7), série Eurostat annuelle de 2006 à 2025 (19 points d'après la long-list), plus longue que les séries INSEE de même enquête (2009-2025, D35).</t>
        </is>
      </c>
      <c r="S23" s="5" t="inlineStr">
        <is>
          <t>retenu</t>
        </is>
      </c>
      <c r="T23" s="7" t="inlineStr"/>
      <c r="U23" s="7" t="inlineStr"/>
    </row>
    <row r="24" ht="60" customHeight="1">
      <c r="A24" s="5" t="inlineStr">
        <is>
          <t>précarité énergétique</t>
        </is>
      </c>
      <c r="B24" s="5" t="inlineStr">
        <is>
          <t>incapacite_chauffer</t>
        </is>
      </c>
      <c r="C24" s="6" t="inlineStr">
        <is>
          <t>incapacite_chauffer</t>
        </is>
      </c>
      <c r="D24" s="5" t="inlineStr">
        <is>
          <t>Incapacité à maintenir le logement à une température adéquate</t>
        </is>
      </c>
      <c r="E24" s="5" t="inlineStr">
        <is>
          <t>oui</t>
        </is>
      </c>
      <c r="F24" s="5" t="inlineStr">
        <is>
          <t>Part de la population vivant dans un ménage qui déclare ne pas avoir les moyens de chauffer convenablement son logement (EU-SILC).</t>
        </is>
      </c>
      <c r="G24" s="5" t="inlineStr">
        <is>
          <t>bas</t>
        </is>
      </c>
      <c r="H24" s="5" t="inlineStr">
        <is>
          <t>% de la population</t>
        </is>
      </c>
      <c r="I24" s="5" t="inlineStr">
        <is>
          <t>Eurostat — ilc_mdes01 (incapacité à maintenir une température adéquate dans le logement, EU-SILC)</t>
        </is>
      </c>
      <c r="J24" s="5" t="inlineStr">
        <is>
          <t>ilc_mdes01?freq=A&amp;hhcomp=TOTAL&amp;rskpovth=TOTAL&amp;unit=PC&amp;geo=FR</t>
        </is>
      </c>
      <c r="K24" s="5" t="inlineStr">
        <is>
          <t>2004-2025 (22 points, annuelle)</t>
        </is>
      </c>
      <c r="L24" s="5" t="inlineStr">
        <is>
          <t>resultat</t>
        </is>
      </c>
      <c r="M24" s="5" t="inlineStr">
        <is>
          <t>non</t>
        </is>
      </c>
      <c r="N24" s="5" t="inlineStr">
        <is>
          <t>non</t>
        </is>
      </c>
      <c r="O24" s="5" t="inlineStr">
        <is>
          <t>non</t>
        </is>
      </c>
      <c r="P24" s="5" t="inlineStr">
        <is>
          <t>oui</t>
        </is>
      </c>
      <c r="Q24" s="5" t="inlineStr">
        <is>
          <t>retenir</t>
        </is>
      </c>
      <c r="R24" s="5" t="inlineStr">
        <is>
          <t>Principal indicateur de précarité énergétique (A3 ; suivi ODD 7 de l'UE, OCDE How's Life 3_5), série Eurostat de 2004 à 2025 (22 points), plus longue et plus fraîche que la série INSEE de 2010 à 2024 (D35).</t>
        </is>
      </c>
      <c r="S24" s="5" t="inlineStr">
        <is>
          <t>retenu_socle</t>
        </is>
      </c>
      <c r="T24" s="7" t="inlineStr"/>
      <c r="U24" s="7" t="inlineStr"/>
    </row>
    <row r="25" ht="60" customHeight="1">
      <c r="A25" s="5" t="inlineStr">
        <is>
          <t>qualité de l'air</t>
        </is>
      </c>
      <c r="B25" s="5" t="inlineStr">
        <is>
          <t>concentration_no2</t>
        </is>
      </c>
      <c r="C25" s="6" t="inlineStr">
        <is>
          <t>concentration_no2</t>
        </is>
      </c>
      <c r="D25" s="5" t="inlineStr">
        <is>
          <t>Concentration moyenne de dioxyde d'azote (NO2) en fond urbain</t>
        </is>
      </c>
      <c r="E25" s="5" t="inlineStr">
        <is>
          <t>oui</t>
        </is>
      </c>
      <c r="F25" s="5" t="inlineStr">
        <is>
          <t>Moyenne annuelle des concentrations de dioxyde d'azote mesurées par les stations de fond urbain et périurbain (SDES, base Geod'air).</t>
        </is>
      </c>
      <c r="G25" s="5" t="inlineStr">
        <is>
          <t>bas</t>
        </is>
      </c>
      <c r="H25" s="5" t="inlineStr">
        <is>
          <t>µg/m³</t>
        </is>
      </c>
      <c r="I25" s="5" t="inlineStr">
        <is>
          <t>SDES (qualité de l'air, plateforme DiDo) — Concentrations moyennes annuelles de polluants (fichier DiDo 9db8c875), NO2 fond urbain et périurbain</t>
        </is>
      </c>
      <c r="J25" s="5" t="inlineStr">
        <is>
          <t>https://data.statistiques.developpement-durable.gouv.fr/dido/api/v1/datafiles/9db8c875-10d8-49b3-ac30-1e6f358ab6b0/csv (NO2.fond_urbain_periurbain)</t>
        </is>
      </c>
      <c r="K25" s="5" t="inlineStr">
        <is>
          <t>2000-2024 (25 points, annuelle)</t>
        </is>
      </c>
      <c r="L25" s="5" t="inlineStr">
        <is>
          <t>resultat</t>
        </is>
      </c>
      <c r="M25" s="5" t="inlineStr">
        <is>
          <t>non</t>
        </is>
      </c>
      <c r="N25" s="5" t="inlineStr">
        <is>
          <t>non</t>
        </is>
      </c>
      <c r="O25" s="5" t="inlineStr">
        <is>
          <t>non</t>
        </is>
      </c>
      <c r="P25" s="5" t="inlineStr">
        <is>
          <t>non</t>
        </is>
      </c>
      <c r="Q25" s="5" t="inlineStr">
        <is>
          <t>retenir</t>
        </is>
      </c>
      <c r="R25" s="5" t="inlineStr">
        <is>
          <t>Seule série de concentration du principal polluant du trafic routier, SDES annuelle de 2000 à 2024 (25 points), 11,97 µg/m³ en fond urbain en 2024 d'après l'extrait du robot M04.</t>
        </is>
      </c>
      <c r="S25" s="5" t="inlineStr">
        <is>
          <t>retenu</t>
        </is>
      </c>
      <c r="T25" s="7" t="inlineStr"/>
      <c r="U25" s="7" t="inlineStr"/>
    </row>
    <row r="26" ht="60" customHeight="1">
      <c r="A26" s="5" t="inlineStr">
        <is>
          <t>qualité de l'air</t>
        </is>
      </c>
      <c r="B26" s="5" t="inlineStr">
        <is>
          <t>concentration_no2</t>
        </is>
      </c>
      <c r="C26" s="5" t="inlineStr">
        <is>
          <t>depassement_norme_no2</t>
        </is>
      </c>
      <c r="D26" s="5" t="inlineStr">
        <is>
          <t>Agglomérations dépassant la norme de NO2 pour la santé</t>
        </is>
      </c>
      <c r="E26" s="5" t="inlineStr">
        <is>
          <t>non</t>
        </is>
      </c>
      <c r="F26" s="5" t="inlineStr">
        <is>
          <t>Part des agglomérations surveillées où la norme réglementaire de protection de la santé pour le dioxyde d'azote est dépassée dans l'année (SDES, base Geod'air).</t>
        </is>
      </c>
      <c r="G26" s="5" t="inlineStr">
        <is>
          <t>bas</t>
        </is>
      </c>
      <c r="H26" s="5" t="inlineStr">
        <is>
          <t>% des agglomérations</t>
        </is>
      </c>
      <c r="I26" s="5" t="inlineStr">
        <is>
          <t>SDES (qualité de l'air, plateforme DiDo) — Dépassements des normes de protection de la santé (fichier DiDo a956734e), NO2</t>
        </is>
      </c>
      <c r="J26" s="5" t="inlineStr">
        <is>
          <t>https://data.statistiques.developpement-durable.gouv.fr/dido/api/v1/datafiles/a956734e-0f63-4629-821e-669f477d5f53/csv (NO2)</t>
        </is>
      </c>
      <c r="K26" s="5" t="inlineStr">
        <is>
          <t>2000-2024 (25 points, annuelle)</t>
        </is>
      </c>
      <c r="L26" s="5" t="inlineStr">
        <is>
          <t>resultat</t>
        </is>
      </c>
      <c r="M26" s="5" t="inlineStr">
        <is>
          <t>non</t>
        </is>
      </c>
      <c r="N26" s="5" t="inlineStr">
        <is>
          <t>non</t>
        </is>
      </c>
      <c r="O26" s="5" t="inlineStr">
        <is>
          <t>non</t>
        </is>
      </c>
      <c r="P26" s="5" t="inlineStr">
        <is>
          <t>non</t>
        </is>
      </c>
      <c r="Q26" s="5" t="inlineStr">
        <is>
          <t>retenir_variante</t>
        </is>
      </c>
      <c r="R26" s="5" t="inlineStr">
        <is>
          <t>Autre statistique de la famille concentration_no2 (respect de la norme sanitaire), série du SDES annuelle de 2000 à 2024 (25 points), 1,21 % des agglomérations en 2024 d'après l'extrait du robot M04.</t>
        </is>
      </c>
      <c r="S26" s="5" t="inlineStr">
        <is>
          <t>retenu</t>
        </is>
      </c>
      <c r="T26" s="7" t="inlineStr"/>
      <c r="U26" s="7" t="inlineStr"/>
    </row>
    <row r="27" ht="60" customHeight="1">
      <c r="A27" s="5" t="inlineStr">
        <is>
          <t>qualité de l'air</t>
        </is>
      </c>
      <c r="B27" s="5" t="inlineStr">
        <is>
          <t>concentration_pm10</t>
        </is>
      </c>
      <c r="C27" s="6" t="inlineStr">
        <is>
          <t>concentration_pm10</t>
        </is>
      </c>
      <c r="D27" s="5" t="inlineStr">
        <is>
          <t>Concentration moyenne de particules PM10 en fond urbain</t>
        </is>
      </c>
      <c r="E27" s="5" t="inlineStr">
        <is>
          <t>oui</t>
        </is>
      </c>
      <c r="F27" s="5" t="inlineStr">
        <is>
          <t>Moyenne annuelle des concentrations de particules de diamètre inférieur à 10 µm mesurées par les stations de fond urbain et périurbain (SDES, base Geod'air).</t>
        </is>
      </c>
      <c r="G27" s="5" t="inlineStr">
        <is>
          <t>bas</t>
        </is>
      </c>
      <c r="H27" s="5" t="inlineStr">
        <is>
          <t>µg/m³</t>
        </is>
      </c>
      <c r="I27" s="5" t="inlineStr">
        <is>
          <t>SDES (qualité de l'air, plateforme DiDo) — Concentrations moyennes annuelles de polluants (fichier DiDo 9db8c875), PM10 fond urbain et périurbain</t>
        </is>
      </c>
      <c r="J27" s="5" t="inlineStr">
        <is>
          <t>https://data.statistiques.developpement-durable.gouv.fr/dido/api/v1/datafiles/9db8c875-10d8-49b3-ac30-1e6f358ab6b0/csv (PM10.fond_urbain_periurbain)</t>
        </is>
      </c>
      <c r="K27" s="5" t="inlineStr">
        <is>
          <t>2007-2024 (18 points, annuelle)</t>
        </is>
      </c>
      <c r="L27" s="5" t="inlineStr">
        <is>
          <t>resultat</t>
        </is>
      </c>
      <c r="M27" s="5" t="inlineStr">
        <is>
          <t>non</t>
        </is>
      </c>
      <c r="N27" s="5" t="inlineStr">
        <is>
          <t>non</t>
        </is>
      </c>
      <c r="O27" s="5" t="inlineStr">
        <is>
          <t>oui</t>
        </is>
      </c>
      <c r="P27" s="5" t="inlineStr">
        <is>
          <t>non</t>
        </is>
      </c>
      <c r="Q27" s="5" t="inlineStr">
        <is>
          <t>retenir</t>
        </is>
      </c>
      <c r="R27" s="5" t="inlineStr">
        <is>
          <t>Variante principale de la famille concentration_pm10, série du SDES annuelle de 2007 à 2024 (18 points), plus longue que la même série republiée par l'INSEE de 2010 à 2024 (indicateur ODD 11).</t>
        </is>
      </c>
      <c r="S27" s="5" t="inlineStr">
        <is>
          <t>retenu</t>
        </is>
      </c>
      <c r="T27" s="7" t="inlineStr"/>
      <c r="U27" s="7" t="inlineStr"/>
    </row>
    <row r="28" ht="60" customHeight="1">
      <c r="A28" s="5" t="inlineStr">
        <is>
          <t>qualité de l'air</t>
        </is>
      </c>
      <c r="B28" s="5" t="inlineStr">
        <is>
          <t>concentration_pm10</t>
        </is>
      </c>
      <c r="C28" s="5" t="inlineStr">
        <is>
          <t>depassement_norme_pm10</t>
        </is>
      </c>
      <c r="D28" s="5" t="inlineStr">
        <is>
          <t>Agglomérations dépassant la norme de PM10 pour la santé</t>
        </is>
      </c>
      <c r="E28" s="5" t="inlineStr">
        <is>
          <t>non</t>
        </is>
      </c>
      <c r="F28" s="5" t="inlineStr">
        <is>
          <t>Part des agglomérations surveillées où la norme réglementaire de protection de la santé pour les particules PM10 est dépassée dans l'année (SDES, base Geod'air).</t>
        </is>
      </c>
      <c r="G28" s="5" t="inlineStr">
        <is>
          <t>bas</t>
        </is>
      </c>
      <c r="H28" s="5" t="inlineStr">
        <is>
          <t>% des agglomérations</t>
        </is>
      </c>
      <c r="I28" s="5" t="inlineStr">
        <is>
          <t>SDES (qualité de l'air, plateforme DiDo) — Dépassements des normes de protection de la santé (fichier DiDo a956734e), PM10</t>
        </is>
      </c>
      <c r="J28" s="5" t="inlineStr">
        <is>
          <t>https://data.statistiques.developpement-durable.gouv.fr/dido/api/v1/datafiles/a956734e-0f63-4629-821e-669f477d5f53/csv (PM10)</t>
        </is>
      </c>
      <c r="K28" s="5" t="inlineStr">
        <is>
          <t>2007-2024 (18 points, annuelle)</t>
        </is>
      </c>
      <c r="L28" s="5" t="inlineStr">
        <is>
          <t>resultat</t>
        </is>
      </c>
      <c r="M28" s="5" t="inlineStr">
        <is>
          <t>non</t>
        </is>
      </c>
      <c r="N28" s="5" t="inlineStr">
        <is>
          <t>non</t>
        </is>
      </c>
      <c r="O28" s="5" t="inlineStr">
        <is>
          <t>non</t>
        </is>
      </c>
      <c r="P28" s="5" t="inlineStr">
        <is>
          <t>non</t>
        </is>
      </c>
      <c r="Q28" s="5" t="inlineStr">
        <is>
          <t>retenir_variante</t>
        </is>
      </c>
      <c r="R28" s="5" t="inlineStr">
        <is>
          <t>Autre statistique de la famille concentration_pm10 (respect de la norme sanitaire), série du SDES annuelle de 2007 à 2024 (18 points), 1,80 % des agglomérations en 2024 d'après l'extrait du robot M04.</t>
        </is>
      </c>
      <c r="S28" s="5" t="inlineStr">
        <is>
          <t>retenu</t>
        </is>
      </c>
      <c r="T28" s="7" t="inlineStr"/>
      <c r="U28" s="7" t="inlineStr"/>
    </row>
    <row r="29" ht="60" customHeight="1">
      <c r="A29" s="5" t="inlineStr">
        <is>
          <t>qualité de l'air</t>
        </is>
      </c>
      <c r="B29" s="5" t="inlineStr">
        <is>
          <t>depassement_norme_ozone</t>
        </is>
      </c>
      <c r="C29" s="6" t="inlineStr">
        <is>
          <t>depassement_norme_ozone</t>
        </is>
      </c>
      <c r="D29" s="5" t="inlineStr">
        <is>
          <t>Agglomérations dépassant la valeur cible d'ozone pour la santé</t>
        </is>
      </c>
      <c r="E29" s="5" t="inlineStr">
        <is>
          <t>oui</t>
        </is>
      </c>
      <c r="F29" s="5" t="inlineStr">
        <is>
          <t>Part des agglomérations surveillées où la valeur cible réglementaire d'ozone pour la protection de la santé humaine est dépassée (SDES, base Geod'air).</t>
        </is>
      </c>
      <c r="G29" s="5" t="inlineStr">
        <is>
          <t>bas</t>
        </is>
      </c>
      <c r="H29" s="5" t="inlineStr">
        <is>
          <t>% des agglomérations</t>
        </is>
      </c>
      <c r="I29" s="5" t="inlineStr">
        <is>
          <t>SDES (qualité de l'air, plateforme DiDo) — Dépassements des normes de protection de la santé (fichier DiDo a956734e), O3</t>
        </is>
      </c>
      <c r="J29" s="5" t="inlineStr">
        <is>
          <t>https://data.statistiques.developpement-durable.gouv.fr/dido/api/v1/datafiles/a956734e-0f63-4629-821e-669f477d5f53/csv (O3)</t>
        </is>
      </c>
      <c r="K29" s="5" t="inlineStr">
        <is>
          <t>2000-2024 (25 points, annuelle)</t>
        </is>
      </c>
      <c r="L29" s="5" t="inlineStr">
        <is>
          <t>resultat</t>
        </is>
      </c>
      <c r="M29" s="5" t="inlineStr">
        <is>
          <t>non</t>
        </is>
      </c>
      <c r="N29" s="5" t="inlineStr">
        <is>
          <t>non</t>
        </is>
      </c>
      <c r="O29" s="5" t="inlineStr">
        <is>
          <t>non</t>
        </is>
      </c>
      <c r="P29" s="5" t="inlineStr">
        <is>
          <t>non</t>
        </is>
      </c>
      <c r="Q29" s="5" t="inlineStr">
        <is>
          <t>retenir</t>
        </is>
      </c>
      <c r="R29" s="5" t="inlineStr">
        <is>
          <t>Variante principale de la famille depassement_norme_ozone, série du SDES annuelle de 2000 à 2024 (25 points), 9,88 % des agglomérations en 2024 d'après l'extrait du robot M04.</t>
        </is>
      </c>
      <c r="S29" s="5" t="inlineStr">
        <is>
          <t>retenu</t>
        </is>
      </c>
      <c r="T29" s="7" t="inlineStr"/>
      <c r="U29" s="7" t="inlineStr"/>
    </row>
    <row r="30" ht="60" customHeight="1">
      <c r="A30" s="5" t="inlineStr">
        <is>
          <t>qualité de l'air</t>
        </is>
      </c>
      <c r="B30" s="5" t="inlineStr">
        <is>
          <t>depassement_norme_ozone</t>
        </is>
      </c>
      <c r="C30" s="5" t="inlineStr">
        <is>
          <t>concentration_ozone</t>
        </is>
      </c>
      <c r="D30" s="5" t="inlineStr">
        <is>
          <t>Concentration d'ozone en fond urbain (indice)</t>
        </is>
      </c>
      <c r="E30" s="5" t="inlineStr">
        <is>
          <t>non</t>
        </is>
      </c>
      <c r="F30" s="5" t="inlineStr">
        <is>
          <t>Indice de la concentration moyenne annuelle d'ozone mesurée par les stations de fond urbain, base 100 en 2000 (SDES, base Geod'air).</t>
        </is>
      </c>
      <c r="G30" s="5" t="inlineStr">
        <is>
          <t>bas</t>
        </is>
      </c>
      <c r="H30" s="5" t="inlineStr">
        <is>
          <t>indice base 100 en 2000</t>
        </is>
      </c>
      <c r="I30" s="5" t="inlineStr">
        <is>
          <t>SDES (qualité de l'air, plateforme DiDo) — Concentrations de polluants en indice (fichier DiDo b10a6294), O3 fond urbain</t>
        </is>
      </c>
      <c r="J30" s="5" t="inlineStr">
        <is>
          <t>https://data.statistiques.developpement-durable.gouv.fr/dido/api/v1/datafiles/b10a6294-7f55-47be-b2e7-2ea2a856e564/csv (O3.Fond_urbain)</t>
        </is>
      </c>
      <c r="K30" s="5" t="inlineStr">
        <is>
          <t>2000-2024 (25 points, annuelle)</t>
        </is>
      </c>
      <c r="L30" s="5" t="inlineStr">
        <is>
          <t>resultat</t>
        </is>
      </c>
      <c r="M30" s="5" t="inlineStr">
        <is>
          <t>non</t>
        </is>
      </c>
      <c r="N30" s="5" t="inlineStr">
        <is>
          <t>non</t>
        </is>
      </c>
      <c r="O30" s="5" t="inlineStr">
        <is>
          <t>non</t>
        </is>
      </c>
      <c r="P30" s="5" t="inlineStr">
        <is>
          <t>non</t>
        </is>
      </c>
      <c r="Q30" s="5" t="inlineStr">
        <is>
          <t>retenir_variante</t>
        </is>
      </c>
      <c r="R30" s="5" t="inlineStr">
        <is>
          <t>Autre statistique de la famille depassement_norme_ozone (niveau de fond plutôt que dépassement de norme), série du SDES annuelle de 2000 à 2024 (25 points d'après la long-list).</t>
        </is>
      </c>
      <c r="S30" s="5" t="inlineStr">
        <is>
          <t>retenu</t>
        </is>
      </c>
      <c r="T30" s="7" t="inlineStr"/>
      <c r="U30" s="7" t="inlineStr"/>
    </row>
    <row r="31" ht="60" customHeight="1">
      <c r="A31" s="5" t="inlineStr">
        <is>
          <t>qualité de l'air</t>
        </is>
      </c>
      <c r="B31" s="5" t="inlineStr">
        <is>
          <t>exposition_pm25</t>
        </is>
      </c>
      <c r="C31" s="6" t="inlineStr">
        <is>
          <t>exposition_pm25</t>
        </is>
      </c>
      <c r="D31" s="5" t="inlineStr">
        <is>
          <t>Exposition moyenne de la population urbaine aux particules fines PM2,5</t>
        </is>
      </c>
      <c r="E31" s="5" t="inlineStr">
        <is>
          <t>oui</t>
        </is>
      </c>
      <c r="F31" s="5" t="inlineStr">
        <is>
          <t>Indicateur d'exposition moyenne : moyenne des concentrations de PM2,5 mesurées par les stations de fond urbain, en moyenne glissante sur trois ans (SDES, base Geod'air), indicateur réglementaire assorti d'objectifs pour …</t>
        </is>
      </c>
      <c r="G31" s="5" t="inlineStr">
        <is>
          <t>bas</t>
        </is>
      </c>
      <c r="H31" s="5" t="inlineStr">
        <is>
          <t>µg/m³</t>
        </is>
      </c>
      <c r="I31" s="5" t="inlineStr">
        <is>
          <t>SDES (qualité de l'air, plateforme DiDo) — Indicateur d'exposition moyenne aux PM2,5, fond urbain (fichier DiDo d237b4e4)</t>
        </is>
      </c>
      <c r="J31" s="5" t="inlineStr">
        <is>
          <t>https://data.statistiques.developpement-durable.gouv.fr/dido/api/v1/datafiles/d237b4e4-c1ce-431f-8716-4297be69f261/csv (PM2_5.Fond_urbain#INDICATEUR_EXPO_MOY)</t>
        </is>
      </c>
      <c r="K31" s="5" t="inlineStr">
        <is>
          <t>2011-2024 (14 points, annuelle)</t>
        </is>
      </c>
      <c r="L31" s="5" t="inlineStr">
        <is>
          <t>resultat</t>
        </is>
      </c>
      <c r="M31" s="5" t="inlineStr">
        <is>
          <t>non</t>
        </is>
      </c>
      <c r="N31" s="5" t="inlineStr">
        <is>
          <t>non</t>
        </is>
      </c>
      <c r="O31" s="5" t="inlineStr">
        <is>
          <t>oui</t>
        </is>
      </c>
      <c r="P31" s="5" t="inlineStr">
        <is>
          <t>oui</t>
        </is>
      </c>
      <c r="Q31" s="5" t="inlineStr">
        <is>
          <t>retenir</t>
        </is>
      </c>
      <c r="R31" s="5" t="inlineStr">
        <is>
          <t>Indicateur incontournable de la pollution de l'air locale (SSF, OCDE, Eurostat), seul publié avec des objectifs réglementaires (14,7 µg/m³ pour 2020, 11,2 pour 2025, 10 pour 2030), de 2011 à 2024 (14 périodes triennales).</t>
        </is>
      </c>
      <c r="S31" s="5" t="inlineStr">
        <is>
          <t>retenu_socle</t>
        </is>
      </c>
      <c r="T31" s="7" t="inlineStr"/>
      <c r="U31" s="7" t="inlineStr"/>
    </row>
    <row r="32" ht="60" customHeight="1">
      <c r="A32" s="5" t="inlineStr">
        <is>
          <t>qualité de l'air</t>
        </is>
      </c>
      <c r="B32" s="5" t="inlineStr">
        <is>
          <t>exposition_pm25</t>
        </is>
      </c>
      <c r="C32" s="5" t="inlineStr">
        <is>
          <t>exposition_pm25_modelisee</t>
        </is>
      </c>
      <c r="D32" s="5" t="inlineStr">
        <is>
          <t>Exposition moyenne de la population aux PM2,5 (estimation modélisée)</t>
        </is>
      </c>
      <c r="E32" s="5" t="inlineStr">
        <is>
          <t>non</t>
        </is>
      </c>
      <c r="F32" s="5" t="inlineStr">
        <is>
          <t>Concentration annuelle moyenne de PM2,5 à laquelle la population est exposée, pondérée par la population et estimée par modélisation (Banque mondiale, indicateur EN.ATM.PM25.MC.M3).</t>
        </is>
      </c>
      <c r="G32" s="5" t="inlineStr">
        <is>
          <t>bas</t>
        </is>
      </c>
      <c r="H32" s="5" t="inlineStr">
        <is>
          <t>µg/m³</t>
        </is>
      </c>
      <c r="I32" s="5" t="inlineStr">
        <is>
          <t>Banque mondiale — World Development Indicators, EN.ATM.PM25.MC.M3</t>
        </is>
      </c>
      <c r="J32" s="5" t="inlineStr">
        <is>
          <t>https://api.worldbank.org/v2/country/FRA/indicator/EN.ATM.PM25.MC.M3?format=json</t>
        </is>
      </c>
      <c r="K32" s="5" t="inlineStr">
        <is>
          <t>1995-2023 (24 points, annuelle)</t>
        </is>
      </c>
      <c r="L32" s="5" t="inlineStr">
        <is>
          <t>resultat</t>
        </is>
      </c>
      <c r="M32" s="5" t="inlineStr">
        <is>
          <t>non</t>
        </is>
      </c>
      <c r="N32" s="5" t="inlineStr">
        <is>
          <t>non</t>
        </is>
      </c>
      <c r="O32" s="5" t="inlineStr">
        <is>
          <t>non</t>
        </is>
      </c>
      <c r="P32" s="5" t="inlineStr">
        <is>
          <t>non</t>
        </is>
      </c>
      <c r="Q32" s="5" t="inlineStr">
        <is>
          <t>retenir_variante</t>
        </is>
      </c>
      <c r="R32" s="5" t="inlineStr">
        <is>
          <t>Autre statistique de la famille exposition_pm25 (toute la population, estimation modélisée), seule à couvrir 2000-2010, annuelle de 1995 à 2023 (24 points depuis 2000).</t>
        </is>
      </c>
      <c r="S32" s="5" t="inlineStr">
        <is>
          <t>retenu</t>
        </is>
      </c>
      <c r="T32" s="7" t="inlineStr"/>
      <c r="U32" s="7" t="inlineStr"/>
    </row>
    <row r="33" ht="60" customHeight="1">
      <c r="A33" s="5" t="inlineStr">
        <is>
          <t>qualité de l'air</t>
        </is>
      </c>
      <c r="B33" s="5" t="inlineStr">
        <is>
          <t>exposition_pm25</t>
        </is>
      </c>
      <c r="C33" s="5" t="inlineStr">
        <is>
          <t>population_exposee_pm25</t>
        </is>
      </c>
      <c r="D33" s="5" t="inlineStr">
        <is>
          <t>Population exposée aux PM2,5 au-delà de la valeur guide de l'OMS</t>
        </is>
      </c>
      <c r="E33" s="5" t="inlineStr">
        <is>
          <t>non</t>
        </is>
      </c>
      <c r="F33" s="5" t="inlineStr">
        <is>
          <t>Part de la population exposée à une concentration annuelle moyenne de PM2,5 supérieure à la valeur guide de l'Organisation mondiale de la santé (OCDE, How's Life 9_2 ; seuil à vérifier, voir notes).</t>
        </is>
      </c>
      <c r="G33" s="5" t="inlineStr">
        <is>
          <t>bas</t>
        </is>
      </c>
      <c r="H33" s="5" t="inlineStr">
        <is>
          <t>% de la population</t>
        </is>
      </c>
      <c r="I33" s="5" t="inlineStr">
        <is>
          <t>OCDE — How's Life? (bien-être actuel), mesure 9_2</t>
        </is>
      </c>
      <c r="J33" s="5" t="inlineStr">
        <is>
          <t>OECD.WISE.WDP,DSD_HSL@DF_HSL_CWB,1.1 MEASURE=9_2 UNIT_MEASURE=PT_POP</t>
        </is>
      </c>
      <c r="K33" s="5" t="inlineStr">
        <is>
          <t>2004-2020 (17 points, annuelle)</t>
        </is>
      </c>
      <c r="L33" s="5" t="inlineStr">
        <is>
          <t>resultat</t>
        </is>
      </c>
      <c r="M33" s="5" t="inlineStr">
        <is>
          <t>non</t>
        </is>
      </c>
      <c r="N33" s="5" t="inlineStr">
        <is>
          <t>non</t>
        </is>
      </c>
      <c r="O33" s="5" t="inlineStr">
        <is>
          <t>non</t>
        </is>
      </c>
      <c r="P33" s="5" t="inlineStr">
        <is>
          <t>non</t>
        </is>
      </c>
      <c r="Q33" s="5" t="inlineStr">
        <is>
          <t>retenir_variante</t>
        </is>
      </c>
      <c r="R33" s="5" t="inlineStr">
        <is>
          <t>Autre statistique de la famille exposition_pm25 (part au-dessus d'un seuil sanitaire), série OCDE annuelle de 2004 à 2020 (17 points), 99,70 % en 2020 d'après l'extrait du robot M04.</t>
        </is>
      </c>
      <c r="S33" s="5" t="inlineStr">
        <is>
          <t>retenu</t>
        </is>
      </c>
      <c r="T33" s="7" t="inlineStr"/>
      <c r="U33" s="7" t="inlineStr"/>
    </row>
    <row r="34" ht="60" customHeight="1">
      <c r="A34" s="5" t="inlineStr">
        <is>
          <t>surpeuplement et qualité du logement</t>
        </is>
      </c>
      <c r="B34" s="5" t="inlineStr">
        <is>
          <t>logement_humide</t>
        </is>
      </c>
      <c r="C34" s="6" t="inlineStr">
        <is>
          <t>logement_humide</t>
        </is>
      </c>
      <c r="D34" s="5" t="inlineStr">
        <is>
          <t>Logement humide ou dégradé (fuites, humidité, pourriture)</t>
        </is>
      </c>
      <c r="E34" s="5" t="inlineStr">
        <is>
          <t>oui</t>
        </is>
      </c>
      <c r="F34" s="5" t="inlineStr">
        <is>
          <t>Part de la population vivant dans un logement dont le toit fuit, dont les murs, sols ou fondations sont humides ou dont les cadres de fenêtres ou les planchers sont pourris (EU-SILC).</t>
        </is>
      </c>
      <c r="G34" s="5" t="inlineStr">
        <is>
          <t>bas</t>
        </is>
      </c>
      <c r="H34" s="5" t="inlineStr">
        <is>
          <t>% de la population</t>
        </is>
      </c>
      <c r="I34" s="5" t="inlineStr">
        <is>
          <t>Eurostat — ilc_mdho01 (population vivant dans un logement avec fuites, humidité ou pourriture, EU-SILC)</t>
        </is>
      </c>
      <c r="J34" s="5" t="inlineStr">
        <is>
          <t>ilc_mdho01?freq=A&amp;hhcomp=TOTAL&amp;rskpovth=TOTAL&amp;unit=PC&amp;sex=T&amp;age=TOTAL&amp;geo=FR</t>
        </is>
      </c>
      <c r="K34" s="5" t="inlineStr">
        <is>
          <t>2004-2023 (18 points, irreguliere)</t>
        </is>
      </c>
      <c r="L34" s="5" t="inlineStr">
        <is>
          <t>resultat</t>
        </is>
      </c>
      <c r="M34" s="5" t="inlineStr">
        <is>
          <t>non</t>
        </is>
      </c>
      <c r="N34" s="5" t="inlineStr">
        <is>
          <t>non</t>
        </is>
      </c>
      <c r="O34" s="5" t="inlineStr">
        <is>
          <t>oui</t>
        </is>
      </c>
      <c r="P34" s="5" t="inlineStr">
        <is>
          <t>oui</t>
        </is>
      </c>
      <c r="Q34" s="5" t="inlineStr">
        <is>
          <t>retenir</t>
        </is>
      </c>
      <c r="R34" s="5" t="inlineStr">
        <is>
          <t>Indicateur incontournable de la qualité du logement (cadre Qualité de vie d'Eurostat, SSF), 18 valeurs de 2004 à 2023 (annuelles jusqu'en 2020, module triennal ensuite, D17).</t>
        </is>
      </c>
      <c r="S34" s="5" t="inlineStr">
        <is>
          <t>retenu_socle</t>
        </is>
      </c>
      <c r="T34" s="7" t="inlineStr"/>
      <c r="U34" s="7" t="inlineStr"/>
    </row>
    <row r="35" ht="60" customHeight="1">
      <c r="A35" s="5" t="inlineStr">
        <is>
          <t>surpeuplement et qualité du logement</t>
        </is>
      </c>
      <c r="B35" s="5" t="inlineStr">
        <is>
          <t>logement_trop_sombre</t>
        </is>
      </c>
      <c r="C35" s="6" t="inlineStr">
        <is>
          <t>logement_trop_sombre</t>
        </is>
      </c>
      <c r="D35" s="5" t="inlineStr">
        <is>
          <t>Logement jugé trop sombre</t>
        </is>
      </c>
      <c r="E35" s="5" t="inlineStr">
        <is>
          <t>oui</t>
        </is>
      </c>
      <c r="F35" s="5" t="inlineStr">
        <is>
          <t>Part de la population vivant dans un ménage qui juge son logement trop sombre, pas assez lumineux (EU-SILC).</t>
        </is>
      </c>
      <c r="G35" s="5" t="inlineStr">
        <is>
          <t>bas</t>
        </is>
      </c>
      <c r="H35" s="5" t="inlineStr">
        <is>
          <t>% de la population</t>
        </is>
      </c>
      <c r="I35" s="5" t="inlineStr">
        <is>
          <t>Eurostat — ilc_mdho04 (population considérant son logement comme trop sombre, EU-SILC)</t>
        </is>
      </c>
      <c r="J35" s="5" t="inlineStr">
        <is>
          <t>ilc_mdho04?freq=A&amp;hhcomp=TOTAL&amp;rskpovth=TOTAL&amp;unit=PC&amp;sex=T&amp;age=TOTAL&amp;geo=FR</t>
        </is>
      </c>
      <c r="K35" s="5" t="inlineStr">
        <is>
          <t>2004-2023 (18 points, irreguliere)</t>
        </is>
      </c>
      <c r="L35" s="5" t="inlineStr">
        <is>
          <t>resultat</t>
        </is>
      </c>
      <c r="M35" s="5" t="inlineStr">
        <is>
          <t>oui</t>
        </is>
      </c>
      <c r="N35" s="5" t="inlineStr">
        <is>
          <t>non</t>
        </is>
      </c>
      <c r="O35" s="5" t="inlineStr">
        <is>
          <t>non</t>
        </is>
      </c>
      <c r="P35" s="5" t="inlineStr">
        <is>
          <t>non</t>
        </is>
      </c>
      <c r="Q35" s="5" t="inlineStr">
        <is>
          <t>retenir</t>
        </is>
      </c>
      <c r="R35" s="5" t="inlineStr">
        <is>
          <t>Seule mesure de l'éclairement naturel du logement, élément de la privation sévère liée au logement d'Eurostat, 18 valeurs de 2004 à 2023 (annuelles jusqu'en 2020, module triennal ensuite, D17).</t>
        </is>
      </c>
      <c r="S35" s="5" t="inlineStr">
        <is>
          <t>retenu</t>
        </is>
      </c>
      <c r="T35" s="7" t="inlineStr"/>
      <c r="U35" s="7" t="inlineStr"/>
    </row>
    <row r="36" ht="60" customHeight="1">
      <c r="A36" s="5" t="inlineStr">
        <is>
          <t>surpeuplement et qualité du logement</t>
        </is>
      </c>
      <c r="B36" s="5" t="inlineStr">
        <is>
          <t>privation_severe_logement</t>
        </is>
      </c>
      <c r="C36" s="6" t="inlineStr">
        <is>
          <t>privation_severe_logement</t>
        </is>
      </c>
      <c r="D36" s="5" t="inlineStr">
        <is>
          <t>Privation sévère liée au logement</t>
        </is>
      </c>
      <c r="E36" s="5" t="inlineStr">
        <is>
          <t>oui</t>
        </is>
      </c>
      <c r="F36" s="5" t="inlineStr">
        <is>
          <t>Part de la population vivant dans un logement surpeuplé qui présente en outre au moins un défaut grave : toit qui fuit ou humidité, absence de baignoire ou de douche, absence de toilettes intérieures, logement trop …</t>
        </is>
      </c>
      <c r="G36" s="5" t="inlineStr">
        <is>
          <t>bas</t>
        </is>
      </c>
      <c r="H36" s="5" t="inlineStr">
        <is>
          <t>% de la population</t>
        </is>
      </c>
      <c r="I36" s="5" t="inlineStr">
        <is>
          <t>Eurostat — ilc_mdho06a (taux de privation sévère liée au logement par âge, sexe et statut de pauvreté, EU-SILC)</t>
        </is>
      </c>
      <c r="J36" s="5" t="inlineStr">
        <is>
          <t>ilc_mdho06a?freq=A&amp;unit=PC&amp;rskpovth=TOTAL&amp;sex=T&amp;age=TOTAL&amp;geo=FR</t>
        </is>
      </c>
      <c r="K36" s="5" t="inlineStr">
        <is>
          <t>2004-2023 (18 points, irreguliere)</t>
        </is>
      </c>
      <c r="L36" s="5" t="inlineStr">
        <is>
          <t>resultat</t>
        </is>
      </c>
      <c r="M36" s="5" t="inlineStr">
        <is>
          <t>non</t>
        </is>
      </c>
      <c r="N36" s="5" t="inlineStr">
        <is>
          <t>non</t>
        </is>
      </c>
      <c r="O36" s="5" t="inlineStr">
        <is>
          <t>oui</t>
        </is>
      </c>
      <c r="P36" s="5" t="inlineStr">
        <is>
          <t>non</t>
        </is>
      </c>
      <c r="Q36" s="5" t="inlineStr">
        <is>
          <t>retenir</t>
        </is>
      </c>
      <c r="R36" s="5" t="inlineStr">
        <is>
          <t>Indicateur incontournable qui croise surpeuplement et défauts du logement (suivi ODD 11 de l'UE, sdg_11_11), 18 valeurs de 2004 à 2023 (annuelles jusqu'en 2020, puis 2023, D17).</t>
        </is>
      </c>
      <c r="S36" s="5" t="inlineStr">
        <is>
          <t>retenu</t>
        </is>
      </c>
      <c r="T36" s="7" t="inlineStr"/>
      <c r="U36" s="7" t="inlineStr"/>
    </row>
    <row r="37" ht="60" customHeight="1">
      <c r="A37" s="5" t="inlineStr">
        <is>
          <t>surpeuplement et qualité du logement</t>
        </is>
      </c>
      <c r="B37" s="5" t="inlineStr">
        <is>
          <t>privation_severe_logement</t>
        </is>
      </c>
      <c r="C37" s="5" t="inlineStr">
        <is>
          <t>logement_inadequat_onu</t>
        </is>
      </c>
      <c r="D37" s="5" t="inlineStr">
        <is>
          <t>Population urbaine vivant dans un logement inadéquat (ODD 11.1.1)</t>
        </is>
      </c>
      <c r="E37" s="5" t="inlineStr">
        <is>
          <t>non</t>
        </is>
      </c>
      <c r="F37" s="5" t="inlineStr">
        <is>
          <t>Part de la population urbaine vivant dans un logement inadéquat au sens de l'indicateur mondial ODD 11.1.1 (bidonvilles, habitat informel ou logement inadéquat), moyenne sur les villes, estimation reprise par l'OCDE.</t>
        </is>
      </c>
      <c r="G37" s="5" t="inlineStr">
        <is>
          <t>bas</t>
        </is>
      </c>
      <c r="H37" s="5" t="inlineStr">
        <is>
          <t>% de la population urbaine</t>
        </is>
      </c>
      <c r="I37" s="5" t="inlineStr">
        <is>
          <t>OCDE (estimation ONU-Habitat) — Base « Measuring distance to the SDG targets », objectif 11, série 11_1_1_EN_LND_INDQTHSNG</t>
        </is>
      </c>
      <c r="J37" s="5" t="inlineStr">
        <is>
          <t>odd_11 : 11_1_1_EN_LND_INDQTHSNG._T._T._T._T._T.PT_POP_URB</t>
        </is>
      </c>
      <c r="K37" s="5" t="inlineStr">
        <is>
          <t>2004-2024 (20 points, annuelle)</t>
        </is>
      </c>
      <c r="L37" s="5" t="inlineStr">
        <is>
          <t>resultat</t>
        </is>
      </c>
      <c r="M37" s="5" t="inlineStr">
        <is>
          <t>non</t>
        </is>
      </c>
      <c r="N37" s="5" t="inlineStr">
        <is>
          <t>non</t>
        </is>
      </c>
      <c r="O37" s="5" t="inlineStr">
        <is>
          <t>non</t>
        </is>
      </c>
      <c r="P37" s="5" t="inlineStr">
        <is>
          <t>non</t>
        </is>
      </c>
      <c r="Q37" s="5" t="inlineStr">
        <is>
          <t>retenir_variante</t>
        </is>
      </c>
      <c r="R37" s="5" t="inlineStr">
        <is>
          <t>Autre lecture de la famille privation_severe_logement, indicateur mondial des ODD estimé de 2004 à 2024 (20 points, 13 valeurs distinctes d'après l'extrait du robot M04), utile aux comparaisons avec le Doughnut.</t>
        </is>
      </c>
      <c r="S37" s="5" t="inlineStr">
        <is>
          <t>retenu</t>
        </is>
      </c>
      <c r="T37" s="7" t="inlineStr"/>
      <c r="U37" s="7" t="inlineStr"/>
    </row>
    <row r="38" ht="60" customHeight="1">
      <c r="A38" s="5" t="inlineStr">
        <is>
          <t>surpeuplement et qualité du logement</t>
        </is>
      </c>
      <c r="B38" s="5" t="inlineStr">
        <is>
          <t>sans_installations_sanitaires</t>
        </is>
      </c>
      <c r="C38" s="6" t="inlineStr">
        <is>
          <t>sans_installations_sanitaires</t>
        </is>
      </c>
      <c r="D38" s="5" t="inlineStr">
        <is>
          <t>Logement sans baignoire, douche ni toilettes intérieures</t>
        </is>
      </c>
      <c r="E38" s="5" t="inlineStr">
        <is>
          <t>oui</t>
        </is>
      </c>
      <c r="F38" s="5" t="inlineStr">
        <is>
          <t>Part de la population vivant dans un logement dépourvu de baignoire, de douche et de toilettes intérieures à chasse d'eau à l'usage exclusif du ménage (EU-SILC).</t>
        </is>
      </c>
      <c r="G38" s="5" t="inlineStr">
        <is>
          <t>bas</t>
        </is>
      </c>
      <c r="H38" s="5" t="inlineStr">
        <is>
          <t>% de la population</t>
        </is>
      </c>
      <c r="I38" s="5" t="inlineStr">
        <is>
          <t>Eurostat — ilc_mdho05 (population sans baignoire, douche ni toilettes intérieures, EU-SILC)</t>
        </is>
      </c>
      <c r="J38" s="5" t="inlineStr">
        <is>
          <t>ilc_mdho05?freq=A&amp;unit=PC&amp;hhcomp=TOTAL&amp;rskpovth=TOTAL&amp;sex=T&amp;age=TOTAL&amp;geo=FR</t>
        </is>
      </c>
      <c r="K38" s="5" t="inlineStr">
        <is>
          <t>2004-2023 (18 points, irreguliere)</t>
        </is>
      </c>
      <c r="L38" s="5" t="inlineStr">
        <is>
          <t>resultat</t>
        </is>
      </c>
      <c r="M38" s="5" t="inlineStr">
        <is>
          <t>non</t>
        </is>
      </c>
      <c r="N38" s="5" t="inlineStr">
        <is>
          <t>non</t>
        </is>
      </c>
      <c r="O38" s="5" t="inlineStr">
        <is>
          <t>oui</t>
        </is>
      </c>
      <c r="P38" s="5" t="inlineStr">
        <is>
          <t>non</t>
        </is>
      </c>
      <c r="Q38" s="5" t="inlineStr">
        <is>
          <t>retenir</t>
        </is>
      </c>
      <c r="R38" s="5" t="inlineStr">
        <is>
          <t>Proxy national de l'assainissement non sûr du Doughnut et indicateur d'équipements de base du Better Life Index, 18 valeurs de 2004 à 2023 (annuelles jusqu'en 2020, module triennal ensuite, D17).</t>
        </is>
      </c>
      <c r="S38" s="5" t="inlineStr">
        <is>
          <t>retenu</t>
        </is>
      </c>
      <c r="T38" s="7" t="inlineStr"/>
      <c r="U38" s="7" t="inlineStr"/>
    </row>
    <row r="39" ht="60" customHeight="1">
      <c r="A39" s="5" t="inlineStr">
        <is>
          <t>surpeuplement et qualité du logement</t>
        </is>
      </c>
      <c r="B39" s="5" t="inlineStr">
        <is>
          <t>sous_occupation</t>
        </is>
      </c>
      <c r="C39" s="6" t="inlineStr">
        <is>
          <t>sous_occupation</t>
        </is>
      </c>
      <c r="D39" s="5" t="inlineStr">
        <is>
          <t>Taux de sous-occupation des logements</t>
        </is>
      </c>
      <c r="E39" s="5" t="inlineStr">
        <is>
          <t>oui</t>
        </is>
      </c>
      <c r="F39" s="5" t="inlineStr">
        <is>
          <t>Part de la population vivant dans un logement sous-occupé, c'est-à-dire comptant plus de pièces que la norme de peuplement ne l'exige pour le ménage (EU-SILC).</t>
        </is>
      </c>
      <c r="G39" s="5" t="inlineStr">
        <is>
          <t>ambigu</t>
        </is>
      </c>
      <c r="H39" s="5" t="inlineStr">
        <is>
          <t>% de la population</t>
        </is>
      </c>
      <c r="I39" s="5" t="inlineStr">
        <is>
          <t>Eurostat — ilc_lvho50a (logements sous-occupés par âge, sexe et statut de pauvreté, EU-SILC)</t>
        </is>
      </c>
      <c r="J39" s="5" t="inlineStr">
        <is>
          <t>ilc_lvho50a?freq=A&amp;unit=PC&amp;rskpovth=TOTAL&amp;sex=T&amp;age=TOTAL&amp;geo=FR</t>
        </is>
      </c>
      <c r="K39" s="5" t="inlineStr">
        <is>
          <t>2004-2025 (22 points, annuelle)</t>
        </is>
      </c>
      <c r="L39" s="5" t="inlineStr">
        <is>
          <t>resultat</t>
        </is>
      </c>
      <c r="M39" s="5" t="inlineStr">
        <is>
          <t>non</t>
        </is>
      </c>
      <c r="N39" s="5" t="inlineStr">
        <is>
          <t>non</t>
        </is>
      </c>
      <c r="O39" s="5" t="inlineStr">
        <is>
          <t>non</t>
        </is>
      </c>
      <c r="P39" s="5" t="inlineStr">
        <is>
          <t>non</t>
        </is>
      </c>
      <c r="Q39" s="5" t="inlineStr">
        <is>
          <t>ecarter</t>
        </is>
      </c>
      <c r="R39" s="5" t="inlineStr">
        <is>
          <t>Sens ambigu (confort pour le ménage ou usage peu efficace du parc, relevé par le crosswalk M03), malgré une série Eurostat annuelle de 2004 à 2025 (22 points).</t>
        </is>
      </c>
      <c r="S39" s="5" t="inlineStr">
        <is>
          <t>ecarte</t>
        </is>
      </c>
      <c r="T39" s="7" t="inlineStr"/>
      <c r="U39" s="7" t="inlineStr"/>
    </row>
    <row r="40" ht="60" customHeight="1">
      <c r="A40" s="5" t="inlineStr">
        <is>
          <t>surpeuplement et qualité du logement</t>
        </is>
      </c>
      <c r="B40" s="5" t="inlineStr">
        <is>
          <t>surpeuplement</t>
        </is>
      </c>
      <c r="C40" s="6" t="inlineStr">
        <is>
          <t>surpeuplement</t>
        </is>
      </c>
      <c r="D40" s="5" t="inlineStr">
        <is>
          <t>Taux de surpeuplement des logements</t>
        </is>
      </c>
      <c r="E40" s="5" t="inlineStr">
        <is>
          <t>oui</t>
        </is>
      </c>
      <c r="F40" s="5" t="inlineStr">
        <is>
          <t>Part de la population vivant dans un logement surpeuplé, c'est-à-dire comptant moins de pièces que le minimum requis compte tenu de la taille et de la composition du ménage (définition harmonisée EU-SILC).</t>
        </is>
      </c>
      <c r="G40" s="5" t="inlineStr">
        <is>
          <t>bas</t>
        </is>
      </c>
      <c r="H40" s="5" t="inlineStr">
        <is>
          <t>% de la population</t>
        </is>
      </c>
      <c r="I40" s="5" t="inlineStr">
        <is>
          <t>Eurostat — ilc_lvho05a (taux de surpeuplement par âge, sexe et statut de pauvreté, population totale, EU-SILC)</t>
        </is>
      </c>
      <c r="J40" s="5" t="inlineStr">
        <is>
          <t>ilc_lvho05a?freq=A&amp;unit=PC&amp;rskpovth=TOTAL&amp;age=TOTAL&amp;sex=T&amp;geo=FR</t>
        </is>
      </c>
      <c r="K40" s="5" t="inlineStr">
        <is>
          <t>2004-2025 (22 points, annuelle)</t>
        </is>
      </c>
      <c r="L40" s="5" t="inlineStr">
        <is>
          <t>resultat</t>
        </is>
      </c>
      <c r="M40" s="5" t="inlineStr">
        <is>
          <t>non</t>
        </is>
      </c>
      <c r="N40" s="5" t="inlineStr">
        <is>
          <t>non</t>
        </is>
      </c>
      <c r="O40" s="5" t="inlineStr">
        <is>
          <t>oui</t>
        </is>
      </c>
      <c r="P40" s="5" t="inlineStr">
        <is>
          <t>oui</t>
        </is>
      </c>
      <c r="Q40" s="5" t="inlineStr">
        <is>
          <t>retenir</t>
        </is>
      </c>
      <c r="R40" s="5" t="inlineStr">
        <is>
          <t>Indicateur incontournable (surpeuplement et qualité du logement : SSF, OCDE, Eurostat), série Eurostat annuelle de 2004 à 2025 (22 points), l'INSEE n'en publiant que deux points par API (D35).</t>
        </is>
      </c>
      <c r="S40" s="5" t="inlineStr">
        <is>
          <t>retenu_socle</t>
        </is>
      </c>
      <c r="T40" s="7" t="inlineStr"/>
      <c r="U40" s="7" t="inlineStr"/>
    </row>
    <row r="41" ht="60" customHeight="1">
      <c r="A41" s="5" t="inlineStr">
        <is>
          <t>surpeuplement et qualité du logement</t>
        </is>
      </c>
      <c r="B41" s="5" t="inlineStr">
        <is>
          <t>surpeuplement</t>
        </is>
      </c>
      <c r="C41" s="5" t="inlineStr">
        <is>
          <t>pieces_par_personne</t>
        </is>
      </c>
      <c r="D41" s="5" t="inlineStr">
        <is>
          <t>Nombre moyen de pièces par personne</t>
        </is>
      </c>
      <c r="E41" s="5" t="inlineStr">
        <is>
          <t>non</t>
        </is>
      </c>
      <c r="F41" s="5" t="inlineStr">
        <is>
          <t>Nombre moyen de pièces d'habitation par personne dans les résidences principales (EU-SILC).</t>
        </is>
      </c>
      <c r="G41" s="5" t="inlineStr">
        <is>
          <t>haut</t>
        </is>
      </c>
      <c r="H41" s="5" t="inlineStr">
        <is>
          <t>pièces par personne</t>
        </is>
      </c>
      <c r="I41" s="5" t="inlineStr">
        <is>
          <t>Eurostat — ilc_lvho03 (nombre moyen de pièces par personne par statut d'occupation et type de logement, EU-SILC)</t>
        </is>
      </c>
      <c r="J41" s="5" t="inlineStr">
        <is>
          <t>ilc_lvho03?freq=A&amp;unit=AVG&amp;building=TOTAL&amp;tenure=TOTAL&amp;geo=FR</t>
        </is>
      </c>
      <c r="K41" s="5" t="inlineStr">
        <is>
          <t>2004-2025 (22 points, annuelle)</t>
        </is>
      </c>
      <c r="L41" s="5" t="inlineStr">
        <is>
          <t>resultat</t>
        </is>
      </c>
      <c r="M41" s="5" t="inlineStr">
        <is>
          <t>non</t>
        </is>
      </c>
      <c r="N41" s="5" t="inlineStr">
        <is>
          <t>non</t>
        </is>
      </c>
      <c r="O41" s="5" t="inlineStr">
        <is>
          <t>non</t>
        </is>
      </c>
      <c r="P41" s="5" t="inlineStr">
        <is>
          <t>non</t>
        </is>
      </c>
      <c r="Q41" s="5" t="inlineStr">
        <is>
          <t>retenir_variante</t>
        </is>
      </c>
      <c r="R41" s="5" t="inlineStr">
        <is>
          <t>Autre lecture de la famille surpeuplement (espace moyen disponible, indicateur du Better Life Index de l'OCDE), série Eurostat annuelle de 2004 à 2025 (22 points d'après la long-list).</t>
        </is>
      </c>
      <c r="S41" s="5" t="inlineStr">
        <is>
          <t>retenu</t>
        </is>
      </c>
      <c r="T41" s="7" t="inlineStr"/>
      <c r="U41" s="7" t="inlineStr"/>
    </row>
    <row r="42" ht="60" customHeight="1">
      <c r="A42" s="5" t="inlineStr">
        <is>
          <t>transports et services</t>
        </is>
      </c>
      <c r="B42" s="5" t="inlineStr">
        <is>
          <t>bancarisation</t>
        </is>
      </c>
      <c r="C42" s="6" t="inlineStr">
        <is>
          <t>bancarisation</t>
        </is>
      </c>
      <c r="D42" s="5" t="inlineStr">
        <is>
          <t>Adultes disposant d'un compte bancaire ou d'un service de paiement mobile</t>
        </is>
      </c>
      <c r="E42" s="5" t="inlineStr">
        <is>
          <t>oui</t>
        </is>
      </c>
      <c r="F42" s="5" t="inlineStr">
        <is>
          <t>Part des adultes possédant un compte dans une banque ou une autre institution financière, ou faisant appel à des services monétaires mobiles (indicateur national ODD 8.10.2 de l'INSEE).</t>
        </is>
      </c>
      <c r="G42" s="5" t="inlineStr">
        <is>
          <t>haut</t>
        </is>
      </c>
      <c r="H42" s="5" t="inlineStr">
        <is>
          <t>% des adultes</t>
        </is>
      </c>
      <c r="I42" s="5" t="inlineStr">
        <is>
          <t>INSEE — BDM, indicateurs nationaux des ODD, objectif 8, série 010596094</t>
        </is>
      </c>
      <c r="J42" s="5" t="inlineStr">
        <is>
          <t>010596094</t>
        </is>
      </c>
      <c r="K42" s="5" t="inlineStr">
        <is>
          <t>2011-2024 (5 points, irreguliere)</t>
        </is>
      </c>
      <c r="L42" s="5" t="inlineStr">
        <is>
          <t>resultat</t>
        </is>
      </c>
      <c r="M42" s="5" t="inlineStr">
        <is>
          <t>non</t>
        </is>
      </c>
      <c r="N42" s="5" t="inlineStr">
        <is>
          <t>non</t>
        </is>
      </c>
      <c r="O42" s="5" t="inlineStr">
        <is>
          <t>non</t>
        </is>
      </c>
      <c r="P42" s="5" t="inlineStr">
        <is>
          <t>non</t>
        </is>
      </c>
      <c r="Q42" s="5" t="inlineStr">
        <is>
          <t>retenir</t>
        </is>
      </c>
      <c r="R42" s="5" t="inlineStr">
        <is>
          <t>Seule mesure de l'accès aux services financiers (ODD 8.10.2), série INSEE irrégulière de 2011 à 2024 (5 points, écart moyen supérieur à 1,5 an), admise par D17 et D28.</t>
        </is>
      </c>
      <c r="S42" s="5" t="inlineStr">
        <is>
          <t>retenu</t>
        </is>
      </c>
      <c r="T42" s="7" t="inlineStr"/>
      <c r="U42" s="7" t="inlineStr"/>
    </row>
    <row r="43" ht="60" customHeight="1">
      <c r="A43" s="5" t="inlineStr">
        <is>
          <t>transports et services</t>
        </is>
      </c>
      <c r="B43" s="5" t="inlineStr">
        <is>
          <t>duree_trajet_domicile_travail</t>
        </is>
      </c>
      <c r="C43" s="6" t="inlineStr">
        <is>
          <t>duree_trajet_domicile_travail</t>
        </is>
      </c>
      <c r="D43" s="5" t="inlineStr">
        <is>
          <t>Durée médiane des trajets domicile-travail</t>
        </is>
      </c>
      <c r="E43" s="5" t="inlineStr">
        <is>
          <t>oui</t>
        </is>
      </c>
      <c r="F43" s="5" t="inlineStr">
        <is>
          <t>Durée médiane, en minutes, des navettes domicile-travail à l'heure de pointe, d'après le recensement de la population (indicateurs territoriaux de développement durable INSEE-SDES, fichier France entière, variable …</t>
        </is>
      </c>
      <c r="G43" s="5" t="inlineStr">
        <is>
          <t>bas</t>
        </is>
      </c>
      <c r="H43" s="5" t="inlineStr">
        <is>
          <t>minutes</t>
        </is>
      </c>
      <c r="I43" s="5" t="inlineStr">
        <is>
          <t>INSEE-SDES (indicateurs territoriaux de développement durable) — Indicateurs territoriaux de développement durable, fichier France entière (DiDo), variable med_dist_min_hp</t>
        </is>
      </c>
      <c r="J43" s="5" t="inlineStr">
        <is>
          <t>DiDo SDES rid 305ea0e3-269b-47ee-bab5-7553fec6f010 (variable med_dist_min_hp, sous-champ act)</t>
        </is>
      </c>
      <c r="K43" s="5" t="inlineStr">
        <is>
          <t>2011-2022 (3 points, irreguliere)</t>
        </is>
      </c>
      <c r="L43" s="5" t="inlineStr">
        <is>
          <t>resultat</t>
        </is>
      </c>
      <c r="M43" s="5" t="inlineStr">
        <is>
          <t>non</t>
        </is>
      </c>
      <c r="N43" s="5" t="inlineStr">
        <is>
          <t>non</t>
        </is>
      </c>
      <c r="O43" s="5" t="inlineStr">
        <is>
          <t>non</t>
        </is>
      </c>
      <c r="P43" s="5" t="inlineStr">
        <is>
          <t>non</t>
        </is>
      </c>
      <c r="Q43" s="5" t="inlineStr">
        <is>
          <t>retenir</t>
        </is>
      </c>
      <c r="R43" s="5" t="inlineStr">
        <is>
          <t>Seule mesure du temps de trajet domicile-travail retenue par le cadre Stiglitz-Sen-Fitoussi, trois millésimes du recensement (2011, 2016, 2022) admis comme série irrégulière (D17, D28).</t>
        </is>
      </c>
      <c r="S43" s="5" t="inlineStr">
        <is>
          <t>retenu</t>
        </is>
      </c>
      <c r="T43" s="7" t="inlineStr"/>
      <c r="U43" s="7" t="inlineStr"/>
    </row>
    <row r="44" ht="60" customHeight="1">
      <c r="A44" s="5" t="inlineStr">
        <is>
          <t>transports et services</t>
        </is>
      </c>
      <c r="B44" s="5" t="inlineStr">
        <is>
          <t>part_modale_transports_collectifs</t>
        </is>
      </c>
      <c r="C44" s="6" t="inlineStr">
        <is>
          <t>part_modale_transports_collectifs</t>
        </is>
      </c>
      <c r="D44" s="5" t="inlineStr">
        <is>
          <t>Part des transports collectifs dans les déplacements de voyageurs</t>
        </is>
      </c>
      <c r="E44" s="5" t="inlineStr">
        <is>
          <t>oui</t>
        </is>
      </c>
      <c r="F44" s="5" t="inlineStr">
        <is>
          <t>Part des trains, autocars, autobus et trolleybus dans le transport intérieur terrestre de voyageurs, mesuré en voyageurs-kilomètres, le reste étant assuré par la voiture particulière (Eurostat).</t>
        </is>
      </c>
      <c r="G44" s="5" t="inlineStr">
        <is>
          <t>haut</t>
        </is>
      </c>
      <c r="H44" s="5" t="inlineStr">
        <is>
          <t>% des voyageurs-kilomètres</t>
        </is>
      </c>
      <c r="I44" s="5" t="inlineStr">
        <is>
          <t>Eurostat — tran_hv_psmod (répartition modale du transport intérieur de voyageurs)</t>
        </is>
      </c>
      <c r="J44" s="5" t="inlineStr">
        <is>
          <t>tran_hv_psmod?freq=A&amp;unit=PC&amp;vehicle=TRN_BUS_TOT_AVD&amp;geo=FR</t>
        </is>
      </c>
      <c r="K44" s="5" t="inlineStr">
        <is>
          <t>2000-2024 (25 points, annuelle)</t>
        </is>
      </c>
      <c r="L44" s="5" t="inlineStr">
        <is>
          <t>resultat</t>
        </is>
      </c>
      <c r="M44" s="5" t="inlineStr">
        <is>
          <t>non</t>
        </is>
      </c>
      <c r="N44" s="5" t="inlineStr">
        <is>
          <t>non</t>
        </is>
      </c>
      <c r="O44" s="5" t="inlineStr">
        <is>
          <t>non</t>
        </is>
      </c>
      <c r="P44" s="5" t="inlineStr">
        <is>
          <t>oui</t>
        </is>
      </c>
      <c r="Q44" s="5" t="inlineStr">
        <is>
          <t>retenir</t>
        </is>
      </c>
      <c r="R44" s="5" t="inlineStr">
        <is>
          <t>Seule série annuelle longue du recours aux transports collectifs, Eurostat de 2000 à 2024 (25 points), retenue sous réserve de remplacer les valeurs aberrantes de 2010-2012 par la somme des composantes de l'INSEE (2010-2024).</t>
        </is>
      </c>
      <c r="S44" s="5" t="inlineStr">
        <is>
          <t>retenu_socle</t>
        </is>
      </c>
      <c r="T44" s="7" t="inlineStr"/>
      <c r="U44" s="7" t="inlineStr"/>
    </row>
  </sheetData>
  <autoFilter ref="A1:U44"/>
  <conditionalFormatting sqref="A2:U44">
    <cfRule type="expression" priority="1" dxfId="0">
      <formula>$T2&lt;&gt;""</formula>
    </cfRule>
  </conditionalFormatting>
  <dataValidations count="1">
    <dataValidation sqref="T2:T44"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0" customWidth="1" min="1" max="1"/>
    <col width="18" customWidth="1" min="2" max="2"/>
    <col width="22" customWidth="1" min="3" max="3"/>
    <col width="30" customWidth="1" min="4" max="4"/>
  </cols>
  <sheetData>
    <row r="1">
      <c r="A1" s="8" t="inlineStr">
        <is>
          <t>Dimension</t>
        </is>
      </c>
      <c r="B1" s="9" t="inlineStr">
        <is>
          <t>Logement et cadre de vie</t>
        </is>
      </c>
    </row>
    <row r="2">
      <c r="A2" s="8" t="inlineStr">
        <is>
          <t>Indicateurs candidats (fiches)</t>
        </is>
      </c>
      <c r="B2" s="9">
        <f>COUNTA(Validation!$C$2:$C$44)</f>
        <v/>
      </c>
    </row>
    <row r="3">
      <c r="A3" s="8" t="inlineStr">
        <is>
          <t>Familles distinctes</t>
        </is>
      </c>
      <c r="B3" s="9">
        <f>SUMPRODUCT((Validation!$B$2:$B$44&lt;&gt;"")/COUNTIF(Validation!$B$2:$B$44,Validation!$B$2:$B$44&amp;""))</f>
        <v/>
      </c>
    </row>
    <row r="4">
      <c r="A4" s="9" t="inlineStr"/>
      <c r="B4" s="9" t="inlineStr"/>
    </row>
    <row r="5">
      <c r="A5" s="8" t="inlineStr">
        <is>
          <t>Recommandations de l'agent</t>
        </is>
      </c>
      <c r="B5" s="9" t="inlineStr"/>
    </row>
    <row r="6">
      <c r="A6" s="9" t="inlineStr">
        <is>
          <t xml:space="preserve">  retenir</t>
        </is>
      </c>
      <c r="B6" s="9">
        <f>COUNTIF(Validation!$Q$2:$Q$44,"retenir")</f>
        <v/>
      </c>
    </row>
    <row r="7">
      <c r="A7" s="9" t="inlineStr">
        <is>
          <t xml:space="preserve">  retenir_variante</t>
        </is>
      </c>
      <c r="B7" s="9">
        <f>COUNTIF(Validation!$Q$2:$Q$44,"retenir_variante")</f>
        <v/>
      </c>
    </row>
    <row r="8">
      <c r="A8" s="9" t="inlineStr">
        <is>
          <t xml:space="preserve">  ecarter</t>
        </is>
      </c>
      <c r="B8" s="9">
        <f>COUNTIF(Validation!$Q$2:$Q$44,"ecarter")</f>
        <v/>
      </c>
    </row>
    <row r="9">
      <c r="A9" s="9" t="inlineStr"/>
      <c r="B9" s="9" t="inlineStr"/>
    </row>
    <row r="10">
      <c r="A10" s="8" t="inlineStr">
        <is>
          <t>Socle proposé par l'agent (D41)</t>
        </is>
      </c>
      <c r="B10" s="9">
        <f>COUNTIF(Validation!$P$2:$P$44,"oui")</f>
        <v/>
      </c>
    </row>
    <row r="11">
      <c r="A11" s="9" t="inlineStr"/>
      <c r="B11" s="9" t="inlineStr"/>
    </row>
    <row r="12">
      <c r="A12" s="8" t="inlineStr">
        <is>
          <t>Décisions par défaut</t>
        </is>
      </c>
      <c r="B12" s="9" t="inlineStr"/>
    </row>
    <row r="13">
      <c r="A13" s="9" t="inlineStr">
        <is>
          <t xml:space="preserve">  retenu_socle</t>
        </is>
      </c>
      <c r="B13" s="9">
        <f>COUNTIF(Validation!$S$2:$S$44,"retenu_socle")</f>
        <v/>
      </c>
    </row>
    <row r="14">
      <c r="A14" s="9" t="inlineStr">
        <is>
          <t xml:space="preserve">  retenu</t>
        </is>
      </c>
      <c r="B14" s="9">
        <f>COUNTIF(Validation!$S$2:$S$44,"retenu")</f>
        <v/>
      </c>
    </row>
    <row r="15">
      <c r="A15" s="9" t="inlineStr">
        <is>
          <t xml:space="preserve">  ecarte</t>
        </is>
      </c>
      <c r="B15" s="9">
        <f>COUNTIF(Validation!$S$2:$S$44,"ecarte")</f>
        <v/>
      </c>
    </row>
    <row r="16">
      <c r="A16" s="9" t="inlineStr">
        <is>
          <t xml:space="preserve">  a_discuter</t>
        </is>
      </c>
      <c r="B16" s="9">
        <f>COUNTIF(Validation!$S$2:$S$44,"a_discuter")</f>
        <v/>
      </c>
    </row>
    <row r="17">
      <c r="A17" s="9" t="inlineStr"/>
      <c r="B17" s="9" t="inlineStr"/>
    </row>
    <row r="18">
      <c r="A18" s="8" t="inlineStr">
        <is>
          <t>Vos décisions saisies (exceptions)</t>
        </is>
      </c>
      <c r="B18" s="9">
        <f>COUNTA(Validation!$T$2:$T$44)</f>
        <v/>
      </c>
    </row>
    <row r="19">
      <c r="A19" s="9" t="inlineStr">
        <is>
          <t xml:space="preserve">  dont retenu_socle</t>
        </is>
      </c>
      <c r="B19" s="9">
        <f>COUNTIF(Validation!$T$2:$T$44,"retenu_socle")</f>
        <v/>
      </c>
    </row>
    <row r="20">
      <c r="A20" s="9" t="inlineStr">
        <is>
          <t xml:space="preserve">  dont retenu</t>
        </is>
      </c>
      <c r="B20" s="9">
        <f>COUNTIF(Validation!$T$2:$T$44,"retenu")</f>
        <v/>
      </c>
    </row>
    <row r="21">
      <c r="A21" s="9" t="inlineStr">
        <is>
          <t xml:space="preserve">  dont ecarte</t>
        </is>
      </c>
      <c r="B21" s="9">
        <f>COUNTIF(Validation!$T$2:$T$44,"ecarte")</f>
        <v/>
      </c>
    </row>
    <row r="22">
      <c r="A22" s="9" t="inlineStr">
        <is>
          <t xml:space="preserve">  dont a_discuter</t>
        </is>
      </c>
      <c r="B22" s="9">
        <f>COUNTIF(Validation!$T$2:$T$44,"a_discuter")</f>
        <v/>
      </c>
    </row>
    <row r="24">
      <c r="A24" s="8" t="inlineStr">
        <is>
          <t>Socle par sous-thème (D41)</t>
        </is>
      </c>
      <c r="B24" s="8" t="inlineStr">
        <is>
          <t>Fiches</t>
        </is>
      </c>
      <c r="C24" s="8" t="inlineStr">
        <is>
          <t>retenu_socle par défaut</t>
        </is>
      </c>
      <c r="D24" s="8" t="inlineStr">
        <is>
          <t>retenu_socle après vos décisions</t>
        </is>
      </c>
    </row>
    <row r="25">
      <c r="A25" s="9" t="inlineStr">
        <is>
          <t>accès au logement et sans-abrisme</t>
        </is>
      </c>
      <c r="B25" s="9">
        <f>COUNTIF(Validation!$A$2:$A$44,$A25)</f>
        <v/>
      </c>
      <c r="C25" s="9">
        <f>COUNTIFS(Validation!$A$2:$A$44,$A25,Validation!$S$2:$S$44,"retenu_socle")</f>
        <v/>
      </c>
      <c r="D25" s="9">
        <f>SUMPRODUCT((Validation!$A$2:$A$44=$A25)*(((Validation!$T$2:$T$44="")*(Validation!$S$2:$S$44="retenu_socle"))+(Validation!$T$2:$T$44="retenu_socle")))</f>
        <v/>
      </c>
    </row>
    <row r="26">
      <c r="A26" s="9" t="inlineStr">
        <is>
          <t>coût du logement</t>
        </is>
      </c>
      <c r="B26" s="9">
        <f>COUNTIF(Validation!$A$2:$A$44,$A26)</f>
        <v/>
      </c>
      <c r="C26" s="9">
        <f>COUNTIFS(Validation!$A$2:$A$44,$A26,Validation!$S$2:$S$44,"retenu_socle")</f>
        <v/>
      </c>
      <c r="D26" s="9">
        <f>SUMPRODUCT((Validation!$A$2:$A$44=$A26)*(((Validation!$T$2:$T$44="")*(Validation!$S$2:$S$44="retenu_socle"))+(Validation!$T$2:$T$44="retenu_socle")))</f>
        <v/>
      </c>
    </row>
    <row r="27">
      <c r="A27" s="9" t="inlineStr">
        <is>
          <t>eau du robinet</t>
        </is>
      </c>
      <c r="B27" s="9">
        <f>COUNTIF(Validation!$A$2:$A$44,$A27)</f>
        <v/>
      </c>
      <c r="C27" s="9">
        <f>COUNTIFS(Validation!$A$2:$A$44,$A27,Validation!$S$2:$S$44,"retenu_socle")</f>
        <v/>
      </c>
      <c r="D27" s="9">
        <f>SUMPRODUCT((Validation!$A$2:$A$44=$A27)*(((Validation!$T$2:$T$44="")*(Validation!$S$2:$S$44="retenu_socle"))+(Validation!$T$2:$T$44="retenu_socle")))</f>
        <v/>
      </c>
    </row>
    <row r="28">
      <c r="A28" s="9" t="inlineStr">
        <is>
          <t>nuisances autour du logement</t>
        </is>
      </c>
      <c r="B28" s="9">
        <f>COUNTIF(Validation!$A$2:$A$44,$A28)</f>
        <v/>
      </c>
      <c r="C28" s="9">
        <f>COUNTIFS(Validation!$A$2:$A$44,$A28,Validation!$S$2:$S$44,"retenu_socle")</f>
        <v/>
      </c>
      <c r="D28" s="9">
        <f>SUMPRODUCT((Validation!$A$2:$A$44=$A28)*(((Validation!$T$2:$T$44="")*(Validation!$S$2:$S$44="retenu_socle"))+(Validation!$T$2:$T$44="retenu_socle")))</f>
        <v/>
      </c>
    </row>
    <row r="29">
      <c r="A29" s="9" t="inlineStr">
        <is>
          <t>numérique</t>
        </is>
      </c>
      <c r="B29" s="9">
        <f>COUNTIF(Validation!$A$2:$A$44,$A29)</f>
        <v/>
      </c>
      <c r="C29" s="9">
        <f>COUNTIFS(Validation!$A$2:$A$44,$A29,Validation!$S$2:$S$44,"retenu_socle")</f>
        <v/>
      </c>
      <c r="D29" s="9">
        <f>SUMPRODUCT((Validation!$A$2:$A$44=$A29)*(((Validation!$T$2:$T$44="")*(Validation!$S$2:$S$44="retenu_socle"))+(Validation!$T$2:$T$44="retenu_socle")))</f>
        <v/>
      </c>
    </row>
    <row r="30">
      <c r="A30" s="9" t="inlineStr">
        <is>
          <t>précarité énergétique</t>
        </is>
      </c>
      <c r="B30" s="9">
        <f>COUNTIF(Validation!$A$2:$A$44,$A30)</f>
        <v/>
      </c>
      <c r="C30" s="9">
        <f>COUNTIFS(Validation!$A$2:$A$44,$A30,Validation!$S$2:$S$44,"retenu_socle")</f>
        <v/>
      </c>
      <c r="D30" s="9">
        <f>SUMPRODUCT((Validation!$A$2:$A$44=$A30)*(((Validation!$T$2:$T$44="")*(Validation!$S$2:$S$44="retenu_socle"))+(Validation!$T$2:$T$44="retenu_socle")))</f>
        <v/>
      </c>
    </row>
    <row r="31">
      <c r="A31" s="9" t="inlineStr">
        <is>
          <t>qualité de l'air</t>
        </is>
      </c>
      <c r="B31" s="9">
        <f>COUNTIF(Validation!$A$2:$A$44,$A31)</f>
        <v/>
      </c>
      <c r="C31" s="9">
        <f>COUNTIFS(Validation!$A$2:$A$44,$A31,Validation!$S$2:$S$44,"retenu_socle")</f>
        <v/>
      </c>
      <c r="D31" s="9">
        <f>SUMPRODUCT((Validation!$A$2:$A$44=$A31)*(((Validation!$T$2:$T$44="")*(Validation!$S$2:$S$44="retenu_socle"))+(Validation!$T$2:$T$44="retenu_socle")))</f>
        <v/>
      </c>
    </row>
    <row r="32">
      <c r="A32" s="9" t="inlineStr">
        <is>
          <t>surpeuplement et qualité du logement</t>
        </is>
      </c>
      <c r="B32" s="9">
        <f>COUNTIF(Validation!$A$2:$A$44,$A32)</f>
        <v/>
      </c>
      <c r="C32" s="9">
        <f>COUNTIFS(Validation!$A$2:$A$44,$A32,Validation!$S$2:$S$44,"retenu_socle")</f>
        <v/>
      </c>
      <c r="D32" s="9">
        <f>SUMPRODUCT((Validation!$A$2:$A$44=$A32)*(((Validation!$T$2:$T$44="")*(Validation!$S$2:$S$44="retenu_socle"))+(Validation!$T$2:$T$44="retenu_socle")))</f>
        <v/>
      </c>
    </row>
    <row r="33">
      <c r="A33" s="9" t="inlineStr">
        <is>
          <t>transports et services</t>
        </is>
      </c>
      <c r="B33" s="9">
        <f>COUNTIF(Validation!$A$2:$A$44,$A33)</f>
        <v/>
      </c>
      <c r="C33" s="9">
        <f>COUNTIFS(Validation!$A$2:$A$44,$A33,Validation!$S$2:$S$44,"retenu_socle")</f>
        <v/>
      </c>
      <c r="D33" s="9">
        <f>SUMPRODUCT((Validation!$A$2:$A$44=$A33)*(((Validation!$T$2:$T$44="")*(Validation!$S$2:$S$44="retenu_socle"))+(Validation!$T$2:$T$44="retenu_socle")))</f>
        <v/>
      </c>
    </row>
    <row r="34">
      <c r="A34" s="8" t="inlineStr">
        <is>
          <t>Total</t>
        </is>
      </c>
      <c r="B34" s="8">
        <f>SUM(B25:B33)</f>
        <v/>
      </c>
      <c r="C34" s="8">
        <f>SUM(C25:C33)</f>
        <v/>
      </c>
      <c r="D34" s="8">
        <f>SUM(D25:D33)</f>
        <v/>
      </c>
    </row>
    <row r="36">
      <c r="A36"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2026-10-17T10:47:38Z</dcterms:created>
  <dcterms:modified xmlns:dcterms="http://purl.org/dc/terms/" xmlns:xsi="http://www.w3.org/2001/XMLSchema-instance" xsi:type="dcterms:W3CDTF">2026-10-17T10:47:38Z</dcterms:modified>
</cp:coreProperties>
</file>