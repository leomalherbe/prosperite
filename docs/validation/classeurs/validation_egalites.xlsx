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Validation" sheetId="2" state="visible" r:id="rId4"/>
    <sheet name="Synthèse" sheetId="3" state="visible" r:id="rId5"/>
  </sheets>
  <definedNames>
    <definedName function="false" hidden="true" localSheetId="1" name="_xlnm._FilterDatabase" vbProcedure="false">Validation!$A$1:$S$58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R1" authorId="0">
      <text>
        <r>
          <rPr>
            <sz val="10"/>
            <rFont val="Arial"/>
            <family val="2"/>
          </rPr>
          <t xml:space="preserve">À remplir seulement si vous divergez de la décision par défaut. Liste : retenu, retenu_socle, ecarte, a_discuter.</t>
        </r>
      </text>
    </comment>
  </commentList>
</comments>
</file>

<file path=xl/sharedStrings.xml><?xml version="1.0" encoding="utf-8"?>
<sst xmlns="http://schemas.openxmlformats.org/spreadsheetml/2006/main" count="1025" uniqueCount="482">
  <si>
    <t xml:space="preserve">Gel 2 — validation des indicateurs de la dimension « Égalités »</t>
  </si>
  <si>
    <t xml:space="preserve">Comment remplir ce classeur (validation par exception, charte §3.6, décision D20)</t>
  </si>
  <si>
    <t xml:space="preserve">1. Ouvrez l'onglet « Validation ». Chaque ligne est un indicateur candidat (une fiche YAML dans le dépôt), regroupé par famille ; la variante principale de chaque famille est en tête.</t>
  </si>
  <si>
    <t xml:space="preserve">2. Les colonnes grises sont informatives. La colonne « Recommandation de l'agent » et son motif résument l'analyse ; la colonne « Décision par défaut » indique ce qui s'appliquera si vous ne remplissez rien.</t>
  </si>
  <si>
    <t xml:space="preserve">3. Ne remplissez la colonne jaune « Votre décision » que là où vous divergez ou hésitez. Valeurs possibles (liste déroulante) :</t>
  </si>
  <si>
    <t xml:space="preserve">     retenu = disponible dans l'outil, non coché par défaut ;</t>
  </si>
  <si>
    <t xml:space="preserve">     retenu_socle = disponible ET coché par défaut dans la configuration de référence ;</t>
  </si>
  <si>
    <t xml:space="preserve">     ecarte = non retenu (indiquez pourquoi dans le commentaire) ;</t>
  </si>
  <si>
    <t xml:space="preserve">     a_discuter = vous voulez en parler avant de trancher (la session mère vous posera la question).</t>
  </si>
  <si>
    <t xml:space="preserve">4. Le commentaire est libre ; il est lu et conservé dans la fiche.</t>
  </si>
  <si>
    <t xml:space="preserve">5. Enregistrez le fichier au même endroit, sous le même nom : la session mère le relit automatiquement.</t>
  </si>
  <si>
    <t xml:space="preserve">Rappels</t>
  </si>
  <si>
    <t xml:space="preserve">— Une famille regroupe des variantes d'un même concept (autre seuil, autre source, ventilation) : en général une seule variante est cochée par défaut.</t>
  </si>
  <si>
    <t xml:space="preserve">— « Incontournable » = présent dans au moins trois cadres de référence (Doughnut, Stiglitz-Sen-Fitoussi, OCDE, Eurostat, INSEE).</t>
  </si>
  <si>
    <t xml:space="preserve">— « Déclaratif » = donnée d'enquête d'opinion ou de ressenti ; « Composite » = indice agrégé d'un producteur tiers (V-Dem, CPI…).</t>
  </si>
  <si>
    <t xml:space="preserve">— Sens « ambigu » : l'agent n'a pas pu établir si plus haut est mieux ; ces lignes sont écartées par défaut.</t>
  </si>
  <si>
    <t xml:space="preserve">— Les bornes (seuil minimal, objectif) ne sont pas traitées ici : elles viendront après le gel 2 (socle v1).</t>
  </si>
  <si>
    <t xml:space="preserve">Exemple de ligne remplie : décision « ecarte », commentaire « doublon de la série INSEE équivalente ; garder la variante INSEE ».</t>
  </si>
  <si>
    <t xml:space="preserve">Famille</t>
  </si>
  <si>
    <t xml:space="preserve">Identifiant</t>
  </si>
  <si>
    <t xml:space="preserve">Libellé</t>
  </si>
  <si>
    <t xml:space="preserve">Variante principale</t>
  </si>
  <si>
    <t xml:space="preserve">Définition courte</t>
  </si>
  <si>
    <t xml:space="preserve">Sens</t>
  </si>
  <si>
    <t xml:space="preserve">Unité</t>
  </si>
  <si>
    <t xml:space="preserve">Source</t>
  </si>
  <si>
    <t xml:space="preserve">Série (identifiant)</t>
  </si>
  <si>
    <t xml:space="preserve">Période</t>
  </si>
  <si>
    <t xml:space="preserve">Type</t>
  </si>
  <si>
    <t xml:space="preserve">Déclaratif</t>
  </si>
  <si>
    <t xml:space="preserve">Composite</t>
  </si>
  <si>
    <t xml:space="preserve">Incontournable</t>
  </si>
  <si>
    <t xml:space="preserve">Recommandation de l'agent</t>
  </si>
  <si>
    <t xml:space="preserve">Motif de la recommandation</t>
  </si>
  <si>
    <t xml:space="preserve">Décision par défaut (si vous ne remplissez rien)</t>
  </si>
  <si>
    <t xml:space="preserve">Votre décision (liste déroulante)</t>
  </si>
  <si>
    <t xml:space="preserve">Votre commentaire</t>
  </si>
  <si>
    <t xml:space="preserve">coefficient_inegalite_humaine</t>
  </si>
  <si>
    <t xml:space="preserve">Coefficient d'inégalité humaine (PNUD)</t>
  </si>
  <si>
    <t xml:space="preserve">oui</t>
  </si>
  <si>
    <t xml:space="preserve">Moyenne arithmétique des inégalités (indices d'Atkinson) de durée de vie, d'éducation et de revenu calculées par le PNUD, en pourcentage.</t>
  </si>
  <si>
    <t xml:space="preserve">bas</t>
  </si>
  <si>
    <t xml:space="preserve">%</t>
  </si>
  <si>
    <t xml:space="preserve">PNUD (Rapport sur le développement humain 2025) — séries composites, colonnes coef_ineq_&lt;année&gt;</t>
  </si>
  <si>
    <t xml:space="preserve">https://hdr.undp.org/sites/default/files/2025_HDR/HDR25_Composite_indices_complete_time_series.csv (colonnes coef_ineq_&lt;année&gt;)</t>
  </si>
  <si>
    <t xml:space="preserve">2010-2023 (14 points, annuelle)</t>
  </si>
  <si>
    <t xml:space="preserve">resultat</t>
  </si>
  <si>
    <t xml:space="preserve">non</t>
  </si>
  <si>
    <t xml:space="preserve">retenir</t>
  </si>
  <si>
    <t xml:space="preserve">Seul indicateur synthétique des inégalités dans plusieurs domaines, composite admis par D18, annuel de 2010 à 2023 (14 points ; 8,97 en 2023).</t>
  </si>
  <si>
    <t xml:space="preserve">retenu</t>
  </si>
  <si>
    <t xml:space="preserve">concentration_hauts_revenus</t>
  </si>
  <si>
    <t xml:space="preserve">part_revenu_1_pourcent_riches</t>
  </si>
  <si>
    <t xml:space="preserve">Part du revenu avant impôt détenue par les 1 % les plus riches</t>
  </si>
  <si>
    <t xml:space="preserve">Part du revenu national avant impôt (après pensions et assurance chômage) perçue par le centile des adultes les plus riches, estimée à partir des données fiscales et des comptes nationaux (World Inequality Database, …</t>
  </si>
  <si>
    <t xml:space="preserve">% du revenu national avant impôt</t>
  </si>
  <si>
    <t xml:space="preserve">World Inequality Database (relais Our World in Data) — incomes-of-the-richest (OWID), colonne share__welfare_type_before_tax__quantile_richest_1pct</t>
  </si>
  <si>
    <t xml:space="preserve">https://ourworldindata.org/grapher/incomes-of-the-richest.csv (colonne share__welfare_type_before_tax__quantile_richest_1pct__extrapolated_no)</t>
  </si>
  <si>
    <t xml:space="preserve">1910-2022 (23 points, annuelle)</t>
  </si>
  <si>
    <t xml:space="preserve">Seule mesure de la concentration au sommet fondée sur les données fiscales, annuelle de 2000 à 2022 (11,3 % en 2000, 9,6 % en 2013, 12,1 % en 2022), alors que l'enquête EU-SILC saisit mal les très hauts revenus.</t>
  </si>
  <si>
    <t xml:space="preserve">discriminations_femmes_temoins</t>
  </si>
  <si>
    <t xml:space="preserve">Part des personnes témoins de discriminations envers les femmes au cours des douze derniers mois</t>
  </si>
  <si>
    <t xml:space="preserve">Part des personnes de 18 ans ou plus déclarant avoir été témoins, au cours des douze derniers mois, de discriminations liées au fait d'être une femme (baromètre d'opinion de la DREES, question CS09, modalité « oui », …</t>
  </si>
  <si>
    <t xml:space="preserve">% des répondants</t>
  </si>
  <si>
    <t xml:space="preserve">DREES (baromètre d'opinion) — Baromètre d'opinion (microdonnées pondérées, data.drees)</t>
  </si>
  <si>
    <t xml:space="preserve">data.drees.solidarites-sante.gouv.fr, jeu 431_le-barometre-d-opinion, pièces jointes barometre2000_2024_diff_csv et barometre2025_diff_csv ; variable CS09, modalités 1</t>
  </si>
  <si>
    <t xml:space="preserve">2014-2025 (10 points, irreguliere)</t>
  </si>
  <si>
    <t xml:space="preserve">Seule mesure cataloguée des discriminations envers les femmes, 10 valeurs de 2014 à 2025 (D17 ; 17,3 % en 2014, 15,7 % en 2025, creux de 14,1 % en 2020).</t>
  </si>
  <si>
    <t xml:space="preserve">discriminations_origine</t>
  </si>
  <si>
    <t xml:space="preserve">discriminations_origine_temoins</t>
  </si>
  <si>
    <t xml:space="preserve">Part des personnes témoins de discriminations liées à l'origine ethnique au cours des douze derniers mois</t>
  </si>
  <si>
    <t xml:space="preserve">Part des personnes de 18 ans ou plus déclarant avoir été témoins, au cours des douze derniers mois, de discriminations liées à l'origine ethnique (baromètre d'opinion de la DREES, question CS16_1, modalité « oui », …</t>
  </si>
  <si>
    <t xml:space="preserve">DREES (baromètre d'opinion) — Baromètre d'opinion de la DREES (data.drees, jeu 431_le-barometre-d-opinion), microdonnées pondérées</t>
  </si>
  <si>
    <t xml:space="preserve">data.drees.solidarites-sante.gouv.fr, jeu 431_le-barometre-d-opinion, pièce jointe barometre2000_2025_diff_csv ; variable CS16_1, modalité 1</t>
  </si>
  <si>
    <t xml:space="preserve">2015-2025 (7 points, irreguliere)</t>
  </si>
  <si>
    <t xml:space="preserve">Seule mesure directe des discriminations selon l'origine (A8), 7 vagues de 2015 à 2025 (écart moyen de 1,7 an, D17 et D28 ; 23,80 % en 2015, 17,74 % en 2021, 20,46 % en 2025).</t>
  </si>
  <si>
    <t xml:space="preserve">egalite_libertes_groupes_sociaux</t>
  </si>
  <si>
    <t xml:space="preserve">Égalité des libertés civiles entre groupes sociaux (V-Dem)</t>
  </si>
  <si>
    <t xml:space="preserve">Score du projet V-Dem mesurant si les libertés civiles sont garanties de la même façon à tous les groupes sociaux (origine, religion, langue…), estimé à partir d'évaluations d'experts.</t>
  </si>
  <si>
    <t xml:space="preserve">haut</t>
  </si>
  <si>
    <t xml:space="preserve">score (échelle du modèle de mesure V-Dem)</t>
  </si>
  <si>
    <t xml:space="preserve">V-Dem (relais Our World in Data) — equality-of-civil-liberties-across-social-groups-score (OWID)</t>
  </si>
  <si>
    <t xml:space="preserve">https://ourworldindata.org/grapher/equality-of-civil-liberties-across-social-groups-score.csv (colonne socgr_civ_libs_vdem__estimate_best)</t>
  </si>
  <si>
    <t xml:space="preserve">1789-2025 (26 points, annuelle)</t>
  </si>
  <si>
    <t xml:space="preserve">retenir_variante</t>
  </si>
  <si>
    <t xml:space="preserve">Score annuel d'experts de 1789 à 2025 (1,042 en 2025), bien plus long que la mesure d'enquête principale de la famille, proposé comme alternative dans la famille discriminations_origine (une série peu variable n'est pas écartée, D34).</t>
  </si>
  <si>
    <t xml:space="preserve">disparites_regionales</t>
  </si>
  <si>
    <t xml:space="preserve">disparites_regionales_emploi</t>
  </si>
  <si>
    <t xml:space="preserve">Disparités régionales des taux d'emploi (coefficient de variation entre régions NUTS 2)</t>
  </si>
  <si>
    <t xml:space="preserve">Coefficient de variation des taux d'emploi des 15-64 ans entre les régions de niveau NUTS 2, en pourcentage (enquête Forces de travail, jeu Eurostat lfst_r_lmder).</t>
  </si>
  <si>
    <t xml:space="preserve">% (coefficient de variation)</t>
  </si>
  <si>
    <t xml:space="preserve">Eurostat — lfst_r_lmder (disparités régionales des taux d'emploi)</t>
  </si>
  <si>
    <t xml:space="preserve">lfst_r_lmder?freq=A&amp;age=Y15-64&amp;unit=PC&amp;statinfo=DISP_NUTS2&amp;sex=T&amp;geo=FR</t>
  </si>
  <si>
    <t xml:space="preserve">2000-2025 (26 points, annuelle)</t>
  </si>
  <si>
    <t xml:space="preserve">Seule mesure annuelle des inégalités territoriales au catalogue, sans lacune de 2000 à 2025 (6,9 % en 2000, 5,1 % en 2025).</t>
  </si>
  <si>
    <t xml:space="preserve">disparites_regionales_chomage</t>
  </si>
  <si>
    <t xml:space="preserve">Disparités régionales des taux de chômage (coefficient de variation entre régions NUTS 2)</t>
  </si>
  <si>
    <t xml:space="preserve">Coefficient de variation des taux de chômage des 15 ans ou plus entre les régions de niveau NUTS 2, en pourcentage (enquête Forces de travail, jeu Eurostat lfst_r_lmdur).</t>
  </si>
  <si>
    <t xml:space="preserve">Eurostat — lfst_r_lmdur (disparités régionales des taux de chômage)</t>
  </si>
  <si>
    <t xml:space="preserve">lfst_r_lmdur?freq=A&amp;statinfo=DISP_NUTS2&amp;sex=T&amp;age=Y_GE15&amp;unit=PC&amp;geo=FR</t>
  </si>
  <si>
    <t xml:space="preserve">Même mesure appliquée au chômage, annuelle de 2000 à 2025 (26 points), proposée comme alternative dans la famille disparites_regionales.</t>
  </si>
  <si>
    <t xml:space="preserve">disparites_regionales_neet</t>
  </si>
  <si>
    <t xml:space="preserve">Disparités régionales des taux de jeunes ni en emploi ni en formation (15-29 ans)</t>
  </si>
  <si>
    <t xml:space="preserve">Coefficient de variation des taux de jeunes de 15 à 29 ans ni en emploi ni en formation entre les régions de niveau NUTS 2, en pourcentage (jeu Eurostat lfst_r_edatd_22).</t>
  </si>
  <si>
    <t xml:space="preserve">Eurostat — lfst_r_edatd_22 (disparités régionales des taux NEET)</t>
  </si>
  <si>
    <t xml:space="preserve">lfst_r_edatd_22?freq=A&amp;unit=PC&amp;statinfo=DISP_NUTS2&amp;age=Y15-29&amp;geo=FR</t>
  </si>
  <si>
    <t xml:space="preserve">2003-2025 (23 points, annuelle)</t>
  </si>
  <si>
    <t xml:space="preserve">Mesure territoriale centrée sur les jeunes, annuelle de 2003 à 2025 (23 points), proposée comme alternative dans la famille disparites_regionales.</t>
  </si>
  <si>
    <t xml:space="preserve">dispersion_scores_pisa</t>
  </si>
  <si>
    <t xml:space="preserve">Dispersion des scores PISA en mathématiques (rapport du 9e au 1er décile)</t>
  </si>
  <si>
    <t xml:space="preserve">Rapport entre le score en mathématiques au-dessus duquel se situent les 10 % meilleurs élèves de 15 ans et celui au-dessous duquel se situent les 10 % les plus faibles (enquête PISA, OCDE How's Life, 6_2_VER).</t>
  </si>
  <si>
    <t xml:space="preserve">rapport (sans unité)</t>
  </si>
  <si>
    <t xml:space="preserve">OCDE (How's Life, d'après PISA) — How's Life? (inégalités verticales, DF_HSL_CWB_INEQ)</t>
  </si>
  <si>
    <t xml:space="preserve">OECD.WISE.WDP,DSD_HSL@DF_HSL_CWB,1.1 MEASURE=6_2_VER UNIT_MEASURE=FCTR_D1_SCR</t>
  </si>
  <si>
    <t xml:space="preserve">2018-2022 (2 points, irreguliere)</t>
  </si>
  <si>
    <t xml:space="preserve">Seule mesure cataloguée des inégalités de compétences des élèves (cadre SSF), enquête triennale admise par D17 et D28 (2 valeurs, 2018 et 2022 ; 1,68 en 2022).</t>
  </si>
  <si>
    <t xml:space="preserve">ecart_acces_soins_revenu</t>
  </si>
  <si>
    <t xml:space="preserve">ecart_besoins_soins_revenu</t>
  </si>
  <si>
    <t xml:space="preserve">Écart de renoncement aux soins médicaux entre les 20 % les plus modestes et les 20 % les plus aisés</t>
  </si>
  <si>
    <t xml:space="preserve">Écart, en valeur absolue et en points, entre la part des personnes de 16 ans ou plus déclarant un besoin d'examen ou de traitement médical non satisfait pour des raisons de coût, de distance ou d'attente dans le …</t>
  </si>
  <si>
    <t xml:space="preserve">points de pourcentage</t>
  </si>
  <si>
    <t xml:space="preserve">Eurostat — hlth_silc_08 (besoins médicaux non satisfaits par quintile de revenu)</t>
  </si>
  <si>
    <t xml:space="preserve">hlth_silc_08?freq=A&amp;unit=PC&amp;quant_inc=QU1&amp;quant_inc=QU2&amp;quant_inc=QU3&amp;quant_inc=QU4&amp;quant_inc=QU5&amp;reason=TXP_TFAR_WLIST&amp;age=Y_GE16&amp;sex=T&amp;geo=FR</t>
  </si>
  <si>
    <t xml:space="preserve">2008-2025 (18 points, annuelle)</t>
  </si>
  <si>
    <t xml:space="preserve">Écart construit sur une série annuelle de 2008 à 2025 (18 points) qui mesure l'inégalité d'accès aux soins selon le revenu, distincte du niveau de renoncement suivi dans sante.</t>
  </si>
  <si>
    <t xml:space="preserve">ecart_chomage_diplome</t>
  </si>
  <si>
    <t xml:space="preserve">Écart de taux de chômage entre peu diplômés et diplômés du supérieur</t>
  </si>
  <si>
    <t xml:space="preserve">Écart, en valeur absolue et en points, entre le taux de chômage des 15-74 ans dont le diplôme le plus élevé est au plus le premier cycle du secondaire (CITE 0-2) et celui des diplômés du supérieur (CITE 5-8) (enquête …</t>
  </si>
  <si>
    <t xml:space="preserve">Eurostat — lfsa_urgaed (taux de chômage par niveau d'éducation)</t>
  </si>
  <si>
    <t xml:space="preserve">lfsa_urgaed?freq=A&amp;unit=PC&amp;sex=T&amp;age=Y15-74&amp;isced11=ED0-2&amp;isced11=ED3_4&amp;isced11=ED34_44&amp;isced11=ED35_45&amp;isced11=ED5-8&amp;isced11=NRP&amp;geo=FR</t>
  </si>
  <si>
    <t xml:space="preserve">Écart absolu (D34) construit sur deux séries annuelles de 2000 à 2025 (26 points), de signe constant (9,8 points en 2000, 12,3 en 2016, 9,4 en 2025), qui mesure la pénalité des peu diplômés sur le marché du travail.</t>
  </si>
  <si>
    <t xml:space="preserve">ecart_chomage_fh</t>
  </si>
  <si>
    <t xml:space="preserve">Écart de taux de chômage entre femmes et hommes</t>
  </si>
  <si>
    <t xml:space="preserve">Écart, en valeur absolue et en points, entre le taux de chômage des femmes de 15 à 74 ans et celui des hommes (enquête Forces de travail, jeu Eurostat une_rt_a).</t>
  </si>
  <si>
    <t xml:space="preserve">Eurostat — une_rt_a (chômage par sexe et âge, données annuelles)</t>
  </si>
  <si>
    <t xml:space="preserve">une_rt_a?freq=A&amp;age=Y15-74&amp;unit=PC_ACT&amp;sex=M&amp;sex=F&amp;geo=FR</t>
  </si>
  <si>
    <t xml:space="preserve">Écart absolu (D34) des taux de chômage des femmes et des hommes, annuel de 2003 à 2025 (23 points), de 1,5 point en 2003 à 0,1 en 2012, puis entre 0,1 et 0,9 point de 2012 à 2025, période où son signe change.</t>
  </si>
  <si>
    <t xml:space="preserve">ecart_education_origine</t>
  </si>
  <si>
    <t xml:space="preserve">ecart_sorties_precoces_immigres</t>
  </si>
  <si>
    <t xml:space="preserve">Écart de sorties précoces du système scolaire entre jeunes nés hors de l'UE et jeunes nés en France (18-24 ans)</t>
  </si>
  <si>
    <t xml:space="preserve">Écart, en valeur absolue et en points, entre la part des 18-24 ans sans diplôme du second cycle du secondaire et hors formation parmi les jeunes nés hors de l'UE et la même part parmi les jeunes nés en France (jeu …</t>
  </si>
  <si>
    <t xml:space="preserve">Eurostat — edat_lfse_02 (sorties précoces par pays de naissance)</t>
  </si>
  <si>
    <t xml:space="preserve">edat_lfse_02?freq=A&amp;sex=T&amp;wstatus=POP&amp;c_birth=EU27_2020_FOR&amp;c_birth=NEU27_2020_FOR&amp;c_birth=FOR&amp;c_birth=NAT&amp;c_birth=NRP&amp;age=Y18-24&amp;unit=PC&amp;geo=FR</t>
  </si>
  <si>
    <t xml:space="preserve">2006-2025 (20 points, annuelle)</t>
  </si>
  <si>
    <t xml:space="preserve">Écart absolu (D34) construit sur une série annuelle de 2006 à 2025 pour les jeunes nés hors de l'UE (21,4 % en 2006, 12,7 % en 2025, lu sur l'API), qui mesure la réussite scolaire selon l'origine (A8).</t>
  </si>
  <si>
    <t xml:space="preserve">ecart_emploi_fh</t>
  </si>
  <si>
    <t xml:space="preserve">Écart de taux d'emploi entre hommes et femmes (20-64 ans)</t>
  </si>
  <si>
    <t xml:space="preserve">Différence, en points de pourcentage, entre le taux d'emploi des hommes et celui des femmes de 20 à 64 ans (enquête Forces de travail ; jeu Eurostat sdg_05_30, personnes en emploi).</t>
  </si>
  <si>
    <t xml:space="preserve">Eurostat — sdg_05_30 (indicateurs ODD de l'UE, enquête Forces de travail)</t>
  </si>
  <si>
    <t xml:space="preserve">sdg_05_30?freq=A&amp;wstatus=EMP&amp;age=Y20-64&amp;unit=PC_PNT&amp;geo=FR</t>
  </si>
  <si>
    <t xml:space="preserve">2009-2025 (17 points, annuelle)</t>
  </si>
  <si>
    <t xml:space="preserve">Concept présent dans quatre cadres (écarts femmes-hommes) et objet d'une cible de l'UE pour 2030 (réduire de moitié l'écart de 2019), série annuelle de 2009 à 2025 (8,0 points en 2009, 5,7 en 2025).</t>
  </si>
  <si>
    <t xml:space="preserve">retenu_socle</t>
  </si>
  <si>
    <t xml:space="preserve">ecart_emploi_handicap</t>
  </si>
  <si>
    <t xml:space="preserve">Écart de taux d'emploi entre personnes sans limitation et personnes limitées dans leurs activités</t>
  </si>
  <si>
    <t xml:space="preserve">Taux d'emploi des personnes sans limitation d'activité moins celui des personnes déclarant une limitation modérée ou forte dans les activités habituelles, en points (EU-SILC, jeu hlth_dlm200 ; tranche d'âge à confirmer …</t>
  </si>
  <si>
    <t xml:space="preserve">Eurostat — hlth_dlm200 (écart d'emploi lié au handicap, EU-SILC)</t>
  </si>
  <si>
    <t xml:space="preserve">hlth_dlm200?freq=A&amp;unit=PC_PNT&amp;lev_limit=SM_SEV&amp;sex=T&amp;geo=FR</t>
  </si>
  <si>
    <t xml:space="preserve">2014-2025 (12 points, annuelle)</t>
  </si>
  <si>
    <t xml:space="preserve">Indicateur européen de l'écart d'emploi lié au handicap (stratégie de l'UE 2021-2030), annuel de 2014 à 2025 (20,4 points en 2014, 21,6 en 2025, ruptures en 2020 et 2022).</t>
  </si>
  <si>
    <t xml:space="preserve">ecart_emploi_origine</t>
  </si>
  <si>
    <t xml:space="preserve">ecart_emploi_nationalite</t>
  </si>
  <si>
    <t xml:space="preserve">Écart de taux d'emploi entre nationaux et ressortissants de pays hors UE (20-64 ans)</t>
  </si>
  <si>
    <t xml:space="preserve">Écart, en valeur absolue et en points, entre le taux d'emploi des personnes de 20 à 64 ans de nationalité française et celui des ressortissants de pays hors de l'Union européenne (enquête Forces de travail, jeu Eurostat …</t>
  </si>
  <si>
    <t xml:space="preserve">Eurostat — sdg_08_30a (taux d'emploi par nationalité, indicateurs ODD de l'UE)</t>
  </si>
  <si>
    <t xml:space="preserve">sdg_08_30a?freq=A&amp;unit=PC&amp;sex=T&amp;age=Y20-64&amp;citizen=NAT&amp;citizen=NEU27_2020_FOR&amp;geo=FR</t>
  </si>
  <si>
    <t xml:space="preserve">Indicateur du cadre Eurostat Qualité de vie (écart d'emploi entre nationaux et ressortissants de pays tiers), construit sur deux séries annuelles de 2000 à 2025 (26 points) de signe constant (23,0 points en 2000, 24,5 en 2016, 19,3 en 2025), principale de la famille ecart_emploi_origine.</t>
  </si>
  <si>
    <t xml:space="preserve">ecart_chomage_immigres</t>
  </si>
  <si>
    <t xml:space="preserve">Écart de taux de chômage entre personnes nées hors de l'UE et personnes nées en France</t>
  </si>
  <si>
    <t xml:space="preserve">Écart, en valeur absolue et en points, entre le taux de chômage des personnes de 15 à 74 ans nées dans un pays hors de l'Union européenne et celui des personnes nées en France (enquête Forces de travail, jeu Eurostat …</t>
  </si>
  <si>
    <t xml:space="preserve">Eurostat — lfsa_urgacob (taux de chômage par pays de naissance)</t>
  </si>
  <si>
    <t xml:space="preserve">lfsa_urgacob?freq=A&amp;unit=PC&amp;sex=T&amp;age=Y15-74&amp;c_birth=EU27_2020_FOR&amp;c_birth=NEU27_2020_FOR&amp;c_birth=FOR&amp;c_birth=NAT&amp;c_birth=NRP&amp;geo=FR</t>
  </si>
  <si>
    <t xml:space="preserve">Écart absolu (D34) de chômage entre personnes nées hors de l'UE et nées en France, annuel de 2000 à 2025 (19,7 % contre 9,4 % en 2000, 13,1 % contre 7,0 % en 2025), qui couvre aussi les immigrés devenus français, proposé comme alternative dans la famille ecart_emploi_origine.</t>
  </si>
  <si>
    <t xml:space="preserve">ecart_insertion_jeunes_origine</t>
  </si>
  <si>
    <t xml:space="preserve">ecart_neet_immigres</t>
  </si>
  <si>
    <t xml:space="preserve">Écart de taux de jeunes ni en emploi ni en formation entre jeunes nés hors de l'UE et jeunes nés en France (15-34 ans)</t>
  </si>
  <si>
    <t xml:space="preserve">Écart, en valeur absolue et en points, entre la part des jeunes de 15 à 34 ans ni en emploi, ni en études, ni en formation parmi les jeunes nés hors de l'UE et la même part parmi les jeunes nés en France (jeu Eurostat …</t>
  </si>
  <si>
    <t xml:space="preserve">Eurostat — edat_lfse_28 (jeunes NEET par pays de naissance)</t>
  </si>
  <si>
    <t xml:space="preserve">edat_lfse_28?freq=A&amp;sex=T&amp;age=Y15-34&amp;wstatus=NEMP&amp;c_birth=EU27_2020_FOR&amp;c_birth=NEU27_2020_FOR&amp;c_birth=FOR&amp;c_birth=NAT&amp;c_birth=NRP&amp;training=NO_FE_NO_NFE&amp;unit=PC&amp;geo=FR</t>
  </si>
  <si>
    <t xml:space="preserve">Écart absolu (D34) de taux NEET entre jeunes de 15 à 34 ans nés hors de l'UE et nés en France, annuel de 2006 à 2025 (20 points ; 16,4 points en 2006, 13,1 en 2025, lus sur l'API), qui mesure l'insertion des jeunes selon l'origine (A8).</t>
  </si>
  <si>
    <t xml:space="preserve">ecart_pauvrete_enfants_origine_sociale</t>
  </si>
  <si>
    <t xml:space="preserve">ecart_pauvrete_enfants_education_parents</t>
  </si>
  <si>
    <t xml:space="preserve">Écart de taux de pauvreté des enfants selon le diplôme des parents (peu diplômés contre très diplômés)</t>
  </si>
  <si>
    <t xml:space="preserve">Taux de pauvreté monétaire des moins de 18 ans dont les parents ont au plus un diplôme du premier cycle du secondaire moins celui des enfants dont les parents sont diplômés du supérieur, en points (EU-SILC, jeu …</t>
  </si>
  <si>
    <t xml:space="preserve">Eurostat — ilc_li60a (EU-SILC)</t>
  </si>
  <si>
    <t xml:space="preserve">ilc_li60a?freq=A&amp;age=Y_LT18&amp;unit=PC_PNT&amp;geo=FR</t>
  </si>
  <si>
    <t xml:space="preserve">2015-2025 (11 points, annuelle)</t>
  </si>
  <si>
    <t xml:space="preserve">Indicateur Eurostat de la transmission des désavantages entre générations, annuel de 2015 à 2025 (45,7 points en 2015, 48,9 en 2025, ruptures en 2020 et 2022).</t>
  </si>
  <si>
    <t xml:space="preserve">ecart_pauvrete_fh</t>
  </si>
  <si>
    <t xml:space="preserve">Écart de taux de pauvreté entre femmes et hommes</t>
  </si>
  <si>
    <t xml:space="preserve">Écart, en valeur absolue et en points, entre le taux de pauvreté monétaire (seuil de 60 % du revenu équivalent médian) des femmes et celui des hommes (EU-SILC, jeu ilc_li02, tous âges).</t>
  </si>
  <si>
    <t xml:space="preserve">Eurostat — ilc_li02 (EU-SILC, taux de risque de pauvreté)</t>
  </si>
  <si>
    <t xml:space="preserve">ilc_li02?freq=A&amp;statinfo=MED_EI&amp;unit=PC&amp;rskpovth=B_60&amp;sex=M&amp;sex=F&amp;age=TOTAL&amp;geo=FR</t>
  </si>
  <si>
    <t xml:space="preserve">2000-2025 (25 points, annuelle)</t>
  </si>
  <si>
    <t xml:space="preserve">Écart absolu (D34) des taux de pauvreté des femmes et des hommes, annuel de 2000 à 2025 sauf 2003 (25 points), entre 0,2 et 2,0 points (2,0 en 2025), seule mesure de l'écart de pauvreté selon le sexe pour toute la population.</t>
  </si>
  <si>
    <t xml:space="preserve">ecart_pauvrete_generations</t>
  </si>
  <si>
    <t xml:space="preserve">ecart_pauvrete_jeunes_seniors</t>
  </si>
  <si>
    <t xml:space="preserve">Écart de taux de pauvreté entre les 18-24 ans et les 65 ans ou plus</t>
  </si>
  <si>
    <t xml:space="preserve">Écart, en valeur absolue et en points, entre le taux de pauvreté monétaire (seuil de 60 % du revenu médian) des 18-24 ans et celui des 65 ans ou plus (EU-SILC, jeu ilc_li02).</t>
  </si>
  <si>
    <t xml:space="preserve">Eurostat — ilc_li02 (EU-SILC, taux de risque de pauvreté par âge)</t>
  </si>
  <si>
    <t xml:space="preserve">ilc_li02?freq=A&amp;statinfo=MED_EI&amp;unit=PC&amp;rskpovth=B_60&amp;sex=T&amp;age=Y_LT6&amp;age=Y6-10&amp;age=Y6-11&amp;age=Y11-15&amp;age=Y12-17&amp;age=Y15-19&amp;age=Y15-24&amp;age=Y15-29&amp;age=Y_LT16&amp;age=Y16-19&amp;age=Y16-24&amp;age=Y16-29&amp;age=Y16-64&amp;age=Y_GE16&amp;age=Y_LT18&amp;age=Y18-24&amp;age=Y18-64&amp;age=Y_GE18&amp;age=Y20-24&amp;age=Y20-29&amp;age=Y25-29&amp;age=Y25-49&amp;age=Y25-54&amp;age=Y50-64&amp;age=Y55-64&amp;age=Y_LT60&amp;age=Y_GE60&amp;age=Y_LT65&amp;age=Y65-74&amp;age=Y_GE65&amp;age=Y_LT75&amp;age=Y_GE75&amp;geo=FR</t>
  </si>
  <si>
    <t xml:space="preserve">2004-2025 (22 points, annuelle)</t>
  </si>
  <si>
    <t xml:space="preserve">Seule mesure annuelle des écarts entre générations au catalogue, construite sur deux séries de 2004 à 2025 (22 points), de signe constant, avec un maximum de 14,9 points en 2010 (5,2 en 2004, 11,2 en 2025).</t>
  </si>
  <si>
    <t xml:space="preserve">ecart_pauvrete_origine</t>
  </si>
  <si>
    <t xml:space="preserve">ecart_pauvrete_etrangers</t>
  </si>
  <si>
    <t xml:space="preserve">Écart de taux de pauvreté entre étrangers et Français (18 ans ou plus)</t>
  </si>
  <si>
    <t xml:space="preserve">Écart, en valeur absolue et en points, entre le taux de pauvreté monétaire (seuil de 60 % du revenu médian) des personnes de 18 ans ou plus de nationalité étrangère et celui des personnes de nationalité française …</t>
  </si>
  <si>
    <t xml:space="preserve">Eurostat — ilc_li31 (taux de risque de pauvreté par nationalité)</t>
  </si>
  <si>
    <t xml:space="preserve">ilc_li31?freq=A&amp;citizen=FOR&amp;citizen=NAT&amp;age=Y_GE18&amp;sex=T&amp;unit=PC&amp;geo=FR</t>
  </si>
  <si>
    <t xml:space="preserve">Écart construit sur deux séries annuelles de 2004 à 2025 (22 points), très stable et de signe constant (32,8 % contre 11,8 % en 2004, 34,0 % contre 12,8 % en 2025).</t>
  </si>
  <si>
    <t xml:space="preserve">ecart_revenu_median_origine</t>
  </si>
  <si>
    <t xml:space="preserve">Écart relatif de revenu médian entre personnes nées en France et personnes nées à l'étranger (18 ans ou plus)</t>
  </si>
  <si>
    <t xml:space="preserve">Écart, en valeur absolue et en pourcentage, entre le revenu disponible équivalent médian des personnes de 18 ans ou plus nées en France et celui des personnes nées à l'étranger, rapporté au premier (EU-SILC, jeu …</t>
  </si>
  <si>
    <t xml:space="preserve">% du revenu médian des personnes nées en France</t>
  </si>
  <si>
    <t xml:space="preserve">Eurostat — ilc_di16 (revenu moyen et médian par groupe de pays de naissance)</t>
  </si>
  <si>
    <t xml:space="preserve">ilc_di16?freq=A&amp;unit=EUR&amp;statinfo=MED_EI&amp;c_birth=NAT&amp;c_birth=FOR&amp;sex=T&amp;age=Y_GE18&amp;geo=FR</t>
  </si>
  <si>
    <t xml:space="preserve">Écart calculé sur deux séries annuelles de 2004 à 2025 (22 points ; 20,3 % en 2004, 17,2 % en 2015, 22,1 % en 2025), qui couvre les immigrés devenus français, proposé comme alternative dans la famille ecart_pauvrete_origine.</t>
  </si>
  <si>
    <t xml:space="preserve">ecart_pension_fh</t>
  </si>
  <si>
    <t xml:space="preserve">Écart de pension moyenne entre hommes et femmes (65 ans ou plus)</t>
  </si>
  <si>
    <t xml:space="preserve">Écart relatif entre la pension moyenne des hommes et celle des femmes de 65 ans ou plus percevant une pension, en pourcentage de la pension des hommes (EU-SILC, jeu ilc_pnp13).</t>
  </si>
  <si>
    <t xml:space="preserve">% de la pension moyenne des hommes</t>
  </si>
  <si>
    <t xml:space="preserve">Eurostat — ilc_pnp13 (EU-SILC, adéquation des pensions)</t>
  </si>
  <si>
    <t xml:space="preserve">ilc_pnp13?freq=A&amp;age=Y_GE65&amp;unit=PC&amp;statinfo=AVG&amp;geo=FR</t>
  </si>
  <si>
    <t xml:space="preserve">Seule mesure cataloguée de l'écart de retraite, qui cumule les écarts de carrière, annuelle de 2015 à 2025 (34,1 % en 2015, 26,6 % en 2025, rupture en 2022).</t>
  </si>
  <si>
    <t xml:space="preserve">ecart_reussite_origine_sociale</t>
  </si>
  <si>
    <t xml:space="preserve">ecart_reussite_bac_origine_sociale</t>
  </si>
  <si>
    <t xml:space="preserve">Écart de réussite au baccalauréat entre enfants de cadres et enfants d'ouvriers</t>
  </si>
  <si>
    <t xml:space="preserve">Écart, en valeur absolue et en points, entre le taux de réussite au baccalauréat (toutes séries) des candidats dont le parent de référence est cadre ou de profession intellectuelle supérieure et celui des candidats …</t>
  </si>
  <si>
    <t xml:space="preserve">DEPP — fr-en-reussite-au-baccalaureat-origine-sociale (data.education.gouv.fr)</t>
  </si>
  <si>
    <t xml:space="preserve">fr-en-reussite-au-baccalaureat-origine-sociale : Cadres, professions intellectuelles supérieures - Ouvriers (pourcentage_d_admis_au_baccalaureat)</t>
  </si>
  <si>
    <t xml:space="preserve">1997-2025 (26 points, annuelle)</t>
  </si>
  <si>
    <t xml:space="preserve">Seule mesure annuelle de la réussite scolaire selon l'origine sociale, contenu explicite de la dimension, calculée sur deux séries de la DEPP de 1997 à 2025 (97,1 % contre 87,5 % en 2025).</t>
  </si>
  <si>
    <t xml:space="preserve">ecart_salaire_fh</t>
  </si>
  <si>
    <t xml:space="preserve">Écart de rémunération horaire entre hommes et femmes (non corrigé)</t>
  </si>
  <si>
    <t xml:space="preserve">Différence entre le salaire horaire brut moyen des hommes et celui des femmes, en pourcentage du salaire masculin, dans l'industrie, la construction et les services hors administration publique (entreprises de 10 …</t>
  </si>
  <si>
    <t xml:space="preserve">% du salaire horaire brut moyen des hommes</t>
  </si>
  <si>
    <t xml:space="preserve">Eurostat — sdg_05_20 (indicateurs ODD de l'UE, enquête sur la structure des salaires)</t>
  </si>
  <si>
    <t xml:space="preserve">sdg_05_20?freq=A&amp;unit=PC&amp;nace_r2=B-S_X_O&amp;geo=FR</t>
  </si>
  <si>
    <t xml:space="preserve">2006-2024 (19 points, annuelle)</t>
  </si>
  <si>
    <t xml:space="preserve">Indicateur européen de référence repris par l'INSEE comme indicateur ODD national 5.i1 et par Eurostat QoL, annuel de 2006 à 2024 (15,4 % en 2006, 11,8 % en 2024, valeurs provisoires en 2023-2024).</t>
  </si>
  <si>
    <t xml:space="preserve">ecart_salaire_eqtp_fh</t>
  </si>
  <si>
    <t xml:space="preserve">Écart de salaire net moyen en équivalent temps plein entre hommes et femmes (secteur privé)</t>
  </si>
  <si>
    <t xml:space="preserve">Écart relatif, en valeur absolue, entre le salaire net mensuel moyen en équivalent temps plein des hommes et celui des femmes, en pourcentage du salaire des hommes, salariés du secteur privé (base Tous salariés, tous …</t>
  </si>
  <si>
    <t xml:space="preserve">% du salaire net moyen des hommes</t>
  </si>
  <si>
    <t xml:space="preserve">INSEE — Melodi DS_DERA_PRIVE_SERIES_LONGUES (séries longues de salaires du privé)</t>
  </si>
  <si>
    <t xml:space="preserve">DS_DERA_PRIVE_SERIES_LONGUES : (SEX=M - SEX=F) / SEX=M, mesure SALAIRE_NET_EQTP_MENSUEL_MOYEN_EUROS_CONSTANTS, WKTIME=_T</t>
  </si>
  <si>
    <t xml:space="preserve">1996-2024 (25 points, annuelle)</t>
  </si>
  <si>
    <t xml:space="preserve">Écart calculé sur deux séries annuelles de l'INSEE de 1996 à 2024 (25 points depuis 2000), plus longues que l'indicateur européen, proposé comme alternative dans la famille ecart_salaire_fh.</t>
  </si>
  <si>
    <t xml:space="preserve">ecart_sante_revenu</t>
  </si>
  <si>
    <t xml:space="preserve">ecart_sante_percue_revenu</t>
  </si>
  <si>
    <t xml:space="preserve">Écart de santé perçue bonne ou très bonne entre les 20 % les plus aisés et les 20 % les plus modestes</t>
  </si>
  <si>
    <t xml:space="preserve">Écart, en valeur absolue et en points, entre la part des personnes de 16 ans ou plus se déclarant en bonne ou très bonne santé dans le quintile de revenu le plus élevé et la même part dans le quintile le plus bas …</t>
  </si>
  <si>
    <t xml:space="preserve">Eurostat — hlth_silc_10 (santé perçue par quintile de revenu)</t>
  </si>
  <si>
    <t xml:space="preserve">hlth_silc_10?freq=A&amp;unit=PC&amp;quant_inc=QU1&amp;quant_inc=QU2&amp;quant_inc=QU3&amp;quant_inc=QU4&amp;quant_inc=QU5&amp;age=Y_GE16&amp;sex=T&amp;levels=VG_G&amp;geo=FR</t>
  </si>
  <si>
    <t xml:space="preserve">2005-2025 (21 points, annuelle)</t>
  </si>
  <si>
    <t xml:space="preserve">Mesure annuelle du gradient social de santé (cadre SSF), construite sur une série de 2005 à 2025 (21 points ; 16,5 points d'écart en 2005, 21,3 en 2025), seule disponible chaque année au catalogue.</t>
  </si>
  <si>
    <t xml:space="preserve">ecart_surqualification_origine</t>
  </si>
  <si>
    <t xml:space="preserve">Écart de taux de surqualification entre personnes nées hors de l'UE et personnes nées en France</t>
  </si>
  <si>
    <t xml:space="preserve">Écart, en valeur absolue et en points, entre le taux de surqualification (part des diplômés de l'enseignement supérieur en emploi, de 15 ans ou plus, qui occupent un emploi ne demandant pas ce niveau de diplôme) des …</t>
  </si>
  <si>
    <t xml:space="preserve">Eurostat — lfsa_eoqgac (taux de surqualification par pays de naissance)</t>
  </si>
  <si>
    <t xml:space="preserve">lfsa_eoqgac?freq=A&amp;c_birth=EU27_2020_FOR&amp;c_birth=NEU27_2020_FOR&amp;c_birth=FOR&amp;c_birth=NAT&amp;c_birth=NRP&amp;age=Y_GE15&amp;sex=T&amp;unit=PC&amp;geo=FR</t>
  </si>
  <si>
    <t xml:space="preserve">Écart construit sur deux séries annuelles de 2000 à 2025 (26 points), de signe constant (1,5 point en 2000, 12,9 en 2015, 11,2 en 2025), seule mesure au catalogue du déclassement des diplômés selon l'origine.</t>
  </si>
  <si>
    <t xml:space="preserve">ecart_temps_partiel_fh</t>
  </si>
  <si>
    <t xml:space="preserve">Écart de part du temps partiel dans l'emploi entre femmes et hommes (20-64 ans)</t>
  </si>
  <si>
    <t xml:space="preserve">Différence, en valeur absolue et en points, entre la part du temps partiel dans l'emploi des femmes et celle des hommes de 20 à 64 ans (jeu Eurostat sdg_05_30, modalité « personnes en emploi à temps partiel » ; la série …</t>
  </si>
  <si>
    <t xml:space="preserve">sdg_05_30?freq=A&amp;wstatus=EMP_PT&amp;age=Y20-64&amp;unit=PC_PNT&amp;geo=FR</t>
  </si>
  <si>
    <t xml:space="preserve">Inégalité de durée d'emploi distincte de l'écart d'emploi, annuelle de 2009 à 2025, dont l'ampleur a nettement baissé (25,2 points en 2009, 17,5 en 2025, en valeur absolue).</t>
  </si>
  <si>
    <t xml:space="preserve">effet_redistribution</t>
  </si>
  <si>
    <t xml:space="preserve">Effet des impôts et des transferts sociaux sur le rapport S80/S20</t>
  </si>
  <si>
    <t xml:space="preserve">Réduction du rapport interquintile S80/S20 obtenue par les impôts et les transferts sociaux (EU-SILC, jeu ilc_di11i).</t>
  </si>
  <si>
    <t xml:space="preserve">ambigu</t>
  </si>
  <si>
    <t xml:space="preserve">Eurostat — ilc_di11i (EU-SILC)</t>
  </si>
  <si>
    <t xml:space="preserve">ilc_di11i?freq=A&amp;unit=RAT&amp;geo=FR</t>
  </si>
  <si>
    <t xml:space="preserve">2010-2025 (16 points, annuelle)</t>
  </si>
  <si>
    <t xml:space="preserve">moyen</t>
  </si>
  <si>
    <t xml:space="preserve">ecarter</t>
  </si>
  <si>
    <t xml:space="preserve">Sens ambigu (l'effet grandit aussi quand les inégalités avant redistribution augmentent) et rupture en 2020 lue sur l'API (3,4 à 4,0 de 2010 à 2019, 5,5 à 6,7 de 2020 à 2025, drapeaux b en 2020 et 2022).</t>
  </si>
  <si>
    <t xml:space="preserve">ecarte</t>
  </si>
  <si>
    <t xml:space="preserve">femmes_conseils_administration</t>
  </si>
  <si>
    <t xml:space="preserve">Part des femmes parmi les membres des conseils des plus grandes sociétés cotées</t>
  </si>
  <si>
    <t xml:space="preserve">Part des femmes parmi les membres exécutifs et non exécutifs des conseils des plus grandes sociétés cotées (indicateur ODD de l'UE sdg_05_61, « postes de cadres supérieurs occupés par des femmes », modalité NEXEC_EXEC).</t>
  </si>
  <si>
    <t xml:space="preserve">% des membres des conseils</t>
  </si>
  <si>
    <t xml:space="preserve">Eurostat — sdg_05_61 (indicateurs ODD de l'UE)</t>
  </si>
  <si>
    <t xml:space="preserve">sdg_05_61?freq=A&amp;prof_pos=NEXEC_EXEC&amp;sex=F&amp;unit=PC&amp;geo=FR</t>
  </si>
  <si>
    <t xml:space="preserve">2012-2025 (14 points, annuelle)</t>
  </si>
  <si>
    <t xml:space="preserve">Indicateur ODD de l'UE annuel de 2012 à 2025 (14 points ; 21,4 % en 2012, 40,0 % en 2016, 46,5 % en 2025), objet d'une cible légale de 40 % (loi n° 2011-103, dite Copé-Zimmermann), seule mesure de la place des femmes dans la gouvernance des entreprises.</t>
  </si>
  <si>
    <t xml:space="preserve">femmes_filieres_scientifiques</t>
  </si>
  <si>
    <t xml:space="preserve">Part des femmes dans les formations scientifiques de l'université (ingénieurs compris)</t>
  </si>
  <si>
    <t xml:space="preserve">Part des femmes parmi les étudiants des formations scientifiques de l'enseignement supérieur, écoles d'ingénieurs comprises (indicateur ODD national 5.i2).</t>
  </si>
  <si>
    <t xml:space="preserve">% des étudiants</t>
  </si>
  <si>
    <t xml:space="preserve">INSEE (SIES) — BDM, indicateurs ODD (objectif 5)</t>
  </si>
  <si>
    <t xml:space="preserve">010594719</t>
  </si>
  <si>
    <t xml:space="preserve">Indicateur ODD national de la ségrégation des filières, annuel de 2010 à 2025 (39,0 % en 2010, 46,4 % en 2025, valeur provisoire), sur le seul champ où la part des femmes reste sous la parité.</t>
  </si>
  <si>
    <t xml:space="preserve">femmes_specialistes_numerique</t>
  </si>
  <si>
    <t xml:space="preserve">Part des femmes parmi les spécialistes des technologies de l'information et de la communication en emploi</t>
  </si>
  <si>
    <t xml:space="preserve">Part des femmes parmi les personnes en emploi exerçant comme spécialistes des technologies de l'information et de la communication (TIC) (jeu Eurostat isoc_sks_itsps).</t>
  </si>
  <si>
    <t xml:space="preserve">% des spécialistes TIC en emploi</t>
  </si>
  <si>
    <t xml:space="preserve">Eurostat — isoc_sks_itsps (spécialistes en emploi dans les TIC par sexe)</t>
  </si>
  <si>
    <t xml:space="preserve">isoc_sks_itsps?freq=A&amp;unit=PC&amp;sex=F&amp;geo=FR</t>
  </si>
  <si>
    <t xml:space="preserve">Objet voisin (l'emploi plutôt que les études) et série plus longue (2004-2025, 22 points ; 23,6 % en 2004, 19,6 % en 2025) que l'indicateur principal, proposée comme alternative dans la famille femmes_filieres_scientifiques.</t>
  </si>
  <si>
    <t xml:space="preserve">femmes_parlement</t>
  </si>
  <si>
    <t xml:space="preserve">Part des femmes parmi les membres du Parlement</t>
  </si>
  <si>
    <t xml:space="preserve">Part des femmes parmi les membres du Parlement national (données de l'Institut européen pour l'égalité entre les hommes et les femmes, jeu Eurostat sdg_05_50).</t>
  </si>
  <si>
    <t xml:space="preserve">% des membres</t>
  </si>
  <si>
    <t xml:space="preserve">Eurostat (EIGE) — sdg_05_50 (indicateurs ODD de l'UE)</t>
  </si>
  <si>
    <t xml:space="preserve">sdg_05_50?freq=A&amp;org_inst=PARL_NAT&amp;sex=F&amp;unit=PC_WMN&amp;geo=FR</t>
  </si>
  <si>
    <t xml:space="preserve">Indicateur de parité politique explicitement rattaché à la dimension (A8), annuel de 2003 à 2025 (11,6 % en 2003, 37,2 % en 2025).</t>
  </si>
  <si>
    <t xml:space="preserve">femmes_postes_direction</t>
  </si>
  <si>
    <t xml:space="preserve">femmes_cadres_dirigeants</t>
  </si>
  <si>
    <t xml:space="preserve">Part des femmes parmi les cadres dirigeants du secteur privé</t>
  </si>
  <si>
    <t xml:space="preserve">Part des femmes parmi les cadres dirigeants des entreprises du secteur privé (indicateur ODD national 5.i5a).</t>
  </si>
  <si>
    <t xml:space="preserve">% des cadres dirigeants</t>
  </si>
  <si>
    <t xml:space="preserve">INSEE — BDM, indicateurs ODD (objectif 5)</t>
  </si>
  <si>
    <t xml:space="preserve">010594728</t>
  </si>
  <si>
    <t xml:space="preserve">Indicateur ODD national de l'accès des femmes aux postes de direction, annuel de 2010 à 2023 (21,5 % en 2010, 30,1 % en 2023), objet d'objectifs légaux (loi du 24 décembre 2021, à vérifier).</t>
  </si>
  <si>
    <t xml:space="preserve">femmes_direction_fonction_publique</t>
  </si>
  <si>
    <t xml:space="preserve">Part des femmes dans l'encadrement supérieur et de direction de la fonction publique</t>
  </si>
  <si>
    <t xml:space="preserve">Part des femmes parmi les emplois d'encadrement supérieur et de direction des trois versants de la fonction publique (indicateur ODD national 5.i5b).</t>
  </si>
  <si>
    <t xml:space="preserve">% des emplois de direction</t>
  </si>
  <si>
    <t xml:space="preserve">INSEE (DGAFP) — BDM, indicateurs ODD (objectif 5)</t>
  </si>
  <si>
    <t xml:space="preserve">010760765</t>
  </si>
  <si>
    <t xml:space="preserve">2012-2023 (12 points, annuelle)</t>
  </si>
  <si>
    <t xml:space="preserve">Champ public soumis à une obligation légale de nominations équilibrées, annuel de 2012 à 2023 (12 points), proposé comme alternative dans la famille femmes_postes_direction.</t>
  </si>
  <si>
    <t xml:space="preserve">femmes_postes_encadrement</t>
  </si>
  <si>
    <t xml:space="preserve">Part des femmes dans les postes d'encadrement (définition OIT)</t>
  </si>
  <si>
    <t xml:space="preserve">Part des femmes parmi les personnes occupant un poste d'encadrement au sens de l'Organisation internationale du travail (groupe 1 de la classification des professions), d'après l'enquête Emploi (indicateur ODD 5.5.2).</t>
  </si>
  <si>
    <t xml:space="preserve">% des postes d'encadrement</t>
  </si>
  <si>
    <t xml:space="preserve">OCDE (relais OIT) — Measuring distance to the SDG targets (ODD 5)</t>
  </si>
  <si>
    <t xml:space="preserve">odd_5 : 5_5_2_IC_GEN_MGTL.Y_GE15.F._T._T._T.PT_W</t>
  </si>
  <si>
    <t xml:space="preserve">2000-2023 (24 points, annuelle)</t>
  </si>
  <si>
    <t xml:space="preserve">Définition plus large que celle de l'INSEE mais série plus longue (2000-2023, 24 points), proposée comme alternative dans la famille femmes_postes_direction.</t>
  </si>
  <si>
    <t xml:space="preserve">indice_composite_genre</t>
  </si>
  <si>
    <t xml:space="preserve">indice_inegalite_genre</t>
  </si>
  <si>
    <t xml:space="preserve">Indice d'inégalité de genre (PNUD)</t>
  </si>
  <si>
    <t xml:space="preserve">Indice composite du PNUD, de 0 (égalité) à 1, qui combine la santé reproductive (mortalité maternelle, natalité des adolescentes), l'autonomisation (sièges au Parlement, études secondaires) et la participation au marché …</t>
  </si>
  <si>
    <t xml:space="preserve">indice (0 à 1)</t>
  </si>
  <si>
    <t xml:space="preserve">PNUD (Rapport sur le développement humain 2025) — séries composites, colonnes gii_&lt;année&gt;</t>
  </si>
  <si>
    <t xml:space="preserve">https://hdr.undp.org/sites/default/files/2025_HDR/HDR25_Composite_indices_complete_time_series.csv (colonnes gii_&lt;année&gt;)</t>
  </si>
  <si>
    <t xml:space="preserve">1990-2023 (24 points, annuelle)</t>
  </si>
  <si>
    <t xml:space="preserve">Indicateur retenu par le Doughnut pour les inégalités femmes-hommes, composite admis par D18, annuel de 1990 à 2023 (0,034 en 2023, 11e rang mondial).</t>
  </si>
  <si>
    <t xml:space="preserve">autonomisation_politique_femmes</t>
  </si>
  <si>
    <t xml:space="preserve">Indice d'autonomisation politique des femmes (V-Dem)</t>
  </si>
  <si>
    <t xml:space="preserve">Indice composite du projet V-Dem, de 0 à 1, qui combine les libertés civiles des femmes, leur participation à la société civile et leur représentation politique, à partir d'évaluations d'experts.</t>
  </si>
  <si>
    <t xml:space="preserve">V-Dem (relais Our World in Data) — women-political-empowerment-index (OWID)</t>
  </si>
  <si>
    <t xml:space="preserve">https://ourworldindata.org/grapher/women-political-empowerment-index.csv (colonne wom_emp_vdem__estimate_best)</t>
  </si>
  <si>
    <t xml:space="preserve">1851-2025 (26 points, annuelle)</t>
  </si>
  <si>
    <t xml:space="preserve">Indice annuel d'experts plus profond (1851, puis 1900-2025) et plus frais (0,929 en 2025) que l'indice d'inégalité de genre du PNUD (1990-2023), proposé comme alternative dans la famille indice_composite_genre.</t>
  </si>
  <si>
    <t xml:space="preserve">indice_developpement_genre</t>
  </si>
  <si>
    <t xml:space="preserve">Indice de développement de genre (rapport IDH des femmes / IDH des hommes, PNUD)</t>
  </si>
  <si>
    <t xml:space="preserve">Écart absolu à 1 du rapport entre l'indice de développement humain calculé pour les femmes et celui calculé pour les hommes (PNUD) ; 0 signifie l'égalité.</t>
  </si>
  <si>
    <t xml:space="preserve">écart absolu à 1 (sans unité)</t>
  </si>
  <si>
    <t xml:space="preserve">PNUD (Rapport sur le développement humain 2025) — séries composites, colonnes gdi_&lt;année&gt;</t>
  </si>
  <si>
    <t xml:space="preserve">https://hdr.undp.org/sites/default/files/2025_HDR/HDR25_Composite_indices_complete_time_series.csv (colonnes gdi_&lt;année&gt;)</t>
  </si>
  <si>
    <t xml:space="preserve">Dominé (méthode §3) par l'indice d'inégalité de genre, principal de la famille : même source, mêmes années (1990-2023) et même fréquence ; l'écart à la parité vaut 0,007 en 2023 (indice 0,993).</t>
  </si>
  <si>
    <t xml:space="preserve">inegalite_esperance_vie</t>
  </si>
  <si>
    <t xml:space="preserve">Inégalité de durée de vie (indice d'Atkinson, PNUD)</t>
  </si>
  <si>
    <t xml:space="preserve">Indice d'Atkinson de la distribution des âges au décès calculé par le PNUD à partir des tables de mortalité, en pourcentage (0 = tout le monde vit aussi longtemps).</t>
  </si>
  <si>
    <t xml:space="preserve">PNUD (Rapport sur le développement humain 2025) — séries composites, colonnes ineq_le_&lt;année&gt;</t>
  </si>
  <si>
    <t xml:space="preserve">https://hdr.undp.org/sites/default/files/2025_HDR/HDR25_Composite_indices_complete_time_series.csv (colonnes ineq_le_&lt;année&gt;)</t>
  </si>
  <si>
    <t xml:space="preserve">Seule mesure cataloguée de la dispersion de la durée de vie, annuelle de 2010 à 2023 (14 points ; 3,71 en 2023).</t>
  </si>
  <si>
    <t xml:space="preserve">inegalite_patrimoine</t>
  </si>
  <si>
    <t xml:space="preserve">gini_patrimoine</t>
  </si>
  <si>
    <t xml:space="preserve">Indice de Gini du patrimoine des ménages</t>
  </si>
  <si>
    <t xml:space="preserve">Indice de concentration du patrimoine brut hors reste des ménages (biens immobiliers, financiers et professionnels), de 0 (égalité) à 1, d'après l'enquête Histoire de vie et Patrimoine (France métropolitaine, comparable …</t>
  </si>
  <si>
    <t xml:space="preserve">INSEE — Melodi DS_ENQPAT_DET (enquête Patrimoine), mesure GINI_PATBRUT_HR</t>
  </si>
  <si>
    <t xml:space="preserve">DS_ENQPAT_DET?AGE=_T&amp;COMPARE_TIME=1_2010&amp;DEG_URB_UNIT=_T&amp;ENQPAT_MEASURE=GINI_PATBRUT_HR&amp;GEO=FRANCE-FM&amp;PCS=_T&amp;QUANTILE=_T&amp;QUANTILE_MEASURE=_T&amp;TPH=_T</t>
  </si>
  <si>
    <t xml:space="preserve">2010-2024 (5 points, irreguliere)</t>
  </si>
  <si>
    <t xml:space="preserve">Seule mesure annuelle ou pluriannuelle de la concentration du patrimoine publiée par l'INSEE, cinq vagues de 2010 à 2024 admises par D17 (écart moyen de 3,5 ans entre valeurs).</t>
  </si>
  <si>
    <t xml:space="preserve">part_patrimoine_10_pourcent_riches</t>
  </si>
  <si>
    <t xml:space="preserve">Part du patrimoine brut détenue par les 10 % de ménages les mieux dotés</t>
  </si>
  <si>
    <t xml:space="preserve">Part de la masse totale du patrimoine brut des ménages détenue par les 10 % de ménages les mieux dotés (enquête Histoire de vie et Patrimoine, France hors Mayotte, comparable depuis 2010).</t>
  </si>
  <si>
    <t xml:space="preserve">% du patrimoine brut total</t>
  </si>
  <si>
    <t xml:space="preserve">INSEE — Melodi DS_ENQPAT_DET (enquête Patrimoine), mesure MASSE_PATBRUT, quantile D9TD10</t>
  </si>
  <si>
    <t xml:space="preserve">DS_ENQPAT_DET?AGE=_T&amp;COMPARE_TIME=1_2010&amp;DEG_URB_UNIT=_T&amp;ENQPAT_MEASURE=MASSE_PATBRUT&amp;GEO=FRANCE-F_X_D976&amp;PCS=_T&amp;QUANTILE=D9TD10&amp;QUANTILE_MEASURE=PATBRUT&amp;TPH=_T</t>
  </si>
  <si>
    <t xml:space="preserve">2015-2024 (4 points, irreguliere)</t>
  </si>
  <si>
    <t xml:space="preserve">Statistique plus lisible que le Gini (part détenue par le haut), publiée pour quatre vagues de 2015 à 2024 (D17), proposée comme alternative dans la famille inegalite_patrimoine.</t>
  </si>
  <si>
    <t xml:space="preserve">inegalite_revenu</t>
  </si>
  <si>
    <t xml:space="preserve">rapport_s80_s20</t>
  </si>
  <si>
    <t xml:space="preserve">Rapport interquintile S80/S20 du niveau de vie (masses détenues par les 20 % les plus aisés et les 20 % les plus modestes)</t>
  </si>
  <si>
    <t xml:space="preserve">Rapport entre la masse des niveaux de vie détenue par les 20 % de personnes les plus aisées et celle détenue par les 20 % les plus modestes, après impôts directs et prestations sociales (enquête Revenus fiscaux et …</t>
  </si>
  <si>
    <t xml:space="preserve">INSEE — Melodi DS_ERFS_RETROPOLE (enquête ERFS, données rétropolées), mesure S80S20_SL</t>
  </si>
  <si>
    <t xml:space="preserve">DS_ERFS_RETROPOLE?AGE=_T&amp;EMPSTA_ENQ=_T&amp;ERFS_MEASURE=S80S20_SL&amp;GEO=FRANCE-FM&amp;MUN_DENSITY_LEVEL=_T&amp;TPH=_T</t>
  </si>
  <si>
    <t xml:space="preserve">Concept présent dans les cinq cadres de référence (inégalité de revenu) et indicateur de richesse nationale n° 6, publié sans rupture de 1996 à 2024 (25 points depuis 2000) dans la version rétropolée de l'INSEE, plus récente d'un an que la série ODD de la BDM.</t>
  </si>
  <si>
    <t xml:space="preserve">gini_niveau_de_vie</t>
  </si>
  <si>
    <t xml:space="preserve">Indice de Gini du niveau de vie</t>
  </si>
  <si>
    <t xml:space="preserve">Indice de concentration des niveaux de vie, de 0 (égalité parfaite) à 1 (une personne détient tout), après impôts directs et prestations sociales (enquête ERFS, données rétropolées, France métropolitaine).</t>
  </si>
  <si>
    <t xml:space="preserve">INSEE — Melodi DS_ERFS_RETROPOLE (enquête ERFS, données rétropolées), mesure GI_SL</t>
  </si>
  <si>
    <t xml:space="preserve">DS_ERFS_RETROPOLE?AGE=_T&amp;EMPSTA_ENQ=_T&amp;ERFS_MEASURE=GI_SL&amp;GEO=FRANCE-FM&amp;MUN_DENSITY_LEVEL=_T&amp;TPH=_T</t>
  </si>
  <si>
    <t xml:space="preserve">Statistique la plus répandue dans les comparaisons internationales, publiée par l'INSEE de 1996 à 2024 (25 points depuis 2000), proposée comme alternative au S80/S20 dans la même famille.</t>
  </si>
  <si>
    <t xml:space="preserve">part_niveau_de_vie_40_modestes</t>
  </si>
  <si>
    <t xml:space="preserve">Part du niveau de vie total détenue par les 40 % les plus modestes</t>
  </si>
  <si>
    <t xml:space="preserve">Part de la masse totale des niveaux de vie détenue par les 40 % de personnes aux niveaux de vie les plus faibles (enquête ERFS, données rétropolées, France métropolitaine).</t>
  </si>
  <si>
    <t xml:space="preserve">% de la masse des niveaux de vie</t>
  </si>
  <si>
    <t xml:space="preserve">INSEE — Melodi DS_ERFS_RETROPOLE (enquête ERFS, données rétropolées), mesure S40_SL</t>
  </si>
  <si>
    <t xml:space="preserve">DS_ERFS_RETROPOLE?AGE=_T&amp;EMPSTA_ENQ=_T&amp;ERFS_MEASURE=S40_SL&amp;GEO=FRANCE-FM&amp;MUN_DENSITY_LEVEL=_T&amp;TPH=_T</t>
  </si>
  <si>
    <t xml:space="preserve">Mesure liée à la cible ODD 10.1 (revenus des 40 % les plus modestes) et indicateur ODD national 10.i1, publiée par l'INSEE de 1996 à 2024 (25 points depuis 2000), proposée comme alternative au S80/S20.</t>
  </si>
  <si>
    <t xml:space="preserve">rapport_d9_d1_niveau_de_vie</t>
  </si>
  <si>
    <t xml:space="preserve">Rapport interdécile D9/D1 du niveau de vie</t>
  </si>
  <si>
    <t xml:space="preserve">Rapport entre le niveau de vie plancher des 10 % les plus aisés (9e décile) et le niveau de vie plafond des 10 % les plus modestes (1er décile) (enquête ERFS, données rétropolées, France métropolitaine).</t>
  </si>
  <si>
    <t xml:space="preserve">INSEE — Melodi DS_ERFS_RETROPOLE (enquête ERFS, données rétropolées), mesure IR_D9_D1_SL</t>
  </si>
  <si>
    <t xml:space="preserve">DS_ERFS_RETROPOLE?AGE=_T&amp;EMPSTA_ENQ=_T&amp;ERFS_MEASURE=IR_D9_D1_SL&amp;GEO=FRANCE-FM&amp;MUN_DENSITY_LEVEL=_T&amp;TPH=_T</t>
  </si>
  <si>
    <t xml:space="preserve">Statistique de seuils citée dans le contenu de la dimension et indicateur ODD national 10.i2b, publiée par l'INSEE de 1996 à 2024 (25 points depuis 2000), proposée comme alternative au S80/S20.</t>
  </si>
  <si>
    <t xml:space="preserve">ratio_palma</t>
  </si>
  <si>
    <t xml:space="preserve">Ratio de Palma du niveau de vie (masse des 10 % les plus aisés rapportée à celle des 40 % les plus modestes)</t>
  </si>
  <si>
    <t xml:space="preserve">Rapport entre la masse des niveaux de vie détenue par les 10 % de personnes les plus aisées et celle détenue par les 40 % les plus modestes, après impôts directs et prestations sociales (enquête ERFS, données …</t>
  </si>
  <si>
    <t xml:space="preserve">INSEE — Melodi DS_ERFS_RETROPOLE (enquête ERFS, données rétropolées), mesure S90S40_SL</t>
  </si>
  <si>
    <t xml:space="preserve">DS_ERFS_RETROPOLE?AGE=_T&amp;EMPSTA_ENQ=_T&amp;ERFS_MEASURE=S90S40_SL&amp;GEO=FRANCE-FM&amp;MUN_DENSITY_LEVEL=_T&amp;TPH=_T</t>
  </si>
  <si>
    <t xml:space="preserve">Statistique retenue par le Doughnut, qui fixe un seuil de privation à un ratio de Palma de 2, publiée par l'INSEE de 1996 à 2024 (25 points depuis 2000) et proposée comme alternative au S80/S20.</t>
  </si>
  <si>
    <t xml:space="preserve">inegalite_revenu_avant_redistribution</t>
  </si>
  <si>
    <t xml:space="preserve">rapport_s80_s20_avant_redistribution</t>
  </si>
  <si>
    <t xml:space="preserve">Rapport interquintile S80/S20 du niveau de vie avant redistribution</t>
  </si>
  <si>
    <t xml:space="preserve">Rapport S80/S20 calculé sur le niveau de vie avant impôts directs et prestations sociales (revenus d'activité, de remplacement et du patrimoine) (enquête ERFS, données rétropolées, France métropolitaine).</t>
  </si>
  <si>
    <t xml:space="preserve">INSEE — Melodi DS_ERFS_RETROPOLE (enquête ERFS, données rétropolées), mesure S80S20_SL_BR</t>
  </si>
  <si>
    <t xml:space="preserve">DS_ERFS_RETROPOLE?AGE=_T&amp;EMPSTA_ENQ=_T&amp;ERFS_MEASURE=S80S20_SL_BR&amp;GEO=FRANCE-FM&amp;MUN_DENSITY_LEVEL=_T&amp;TPH=_T</t>
  </si>
  <si>
    <t xml:space="preserve">Indicateur complémentaire de l'indicateur de richesse nationale n° 6, qui mesure les inégalités « primaires » que la redistribution corrige, publié de 1996 à 2024 (la série BDM s'arrête en 2022 : 7,0 en 1996, 8,2 en 2022).</t>
  </si>
  <si>
    <t xml:space="preserve">inegalite_salaires</t>
  </si>
  <si>
    <t xml:space="preserve">rapport_d9_d1_salaires</t>
  </si>
  <si>
    <t xml:space="preserve">Rapport interdécile D9/D1 des salaires nets en équivalent temps plein (secteur privé)</t>
  </si>
  <si>
    <t xml:space="preserve">Rapport entre le salaire net annuel en équivalent temps plein au-dessus duquel se situent les 10 % les mieux payés et celui au-dessous duquel se situent les 10 % les moins payés, salariés du secteur privé (base Tous …</t>
  </si>
  <si>
    <t xml:space="preserve">INSEE — BDM, salaires du secteur privé (base Tous salariés)</t>
  </si>
  <si>
    <t xml:space="preserve">010752357</t>
  </si>
  <si>
    <t xml:space="preserve">Série annuelle de l'INSEE sans lacune de 1996 à 2024 (2,99 en 2000, 3,06 en 2020, 2,91 en 2024), plus longue et plus fréquente que la série de l'OCDE (2_8_VER, 10 valeurs).</t>
  </si>
  <si>
    <t xml:space="preserve">inegalite_satisfaction_vie</t>
  </si>
  <si>
    <t xml:space="preserve">Inégalité de satisfaction dans la vie (rapport entre les quintiles supérieur et inférieur des notes)</t>
  </si>
  <si>
    <t xml:space="preserve">Rapport entre la note moyenne de satisfaction dans la vie des 20 % les plus satisfaits et celle des 20 % les moins satisfaits (OCDE How's Life, 11_1_VER, d'après EU-SILC).</t>
  </si>
  <si>
    <t xml:space="preserve">OCDE (How's Life, d'après EU-SILC) — How's Life? (inégalités verticales, DF_HSL_CWB_INEQ)</t>
  </si>
  <si>
    <t xml:space="preserve">OECD.WISE.WDP,DSD_HSL@DF_HSL_CWB,1.1 MEASURE=11_1_VER UNIT_MEASURE=FCTR_Q1_SCR_LIFE_SATISFACTION</t>
  </si>
  <si>
    <t xml:space="preserve">2013-2024 (6 points, irreguliere)</t>
  </si>
  <si>
    <t xml:space="preserve">Mesure de l'inégalité de bien-être de l'OCDE, six valeurs de 2013 à 2024 (2013, 2018, 2021 à 2024 ; 2,08 en 2024), admise par D17.</t>
  </si>
  <si>
    <t xml:space="preserve">mobilite_intergenerationnelle</t>
  </si>
  <si>
    <t xml:space="preserve">ecart_pauvrete_adultes_education_parents</t>
  </si>
  <si>
    <t xml:space="preserve">Écart de taux de pauvreté des adultes selon le diplôme de leurs parents (25-59 ans)</t>
  </si>
  <si>
    <t xml:space="preserve">Écart, en valeur absolue et en points, entre le taux de risque de pauvreté des adultes de 25 à 59 ans dont les parents ont au plus un diplôme du premier cycle du secondaire (CITE 0-2) et celui des adultes dont les …</t>
  </si>
  <si>
    <t xml:space="preserve">Eurostat — ilc_igtp03 (taux de risque de pauvreté des adultes de 25 à 59 ans par niveau d'éducation de leurs parents)</t>
  </si>
  <si>
    <t xml:space="preserve">ilc_igtp03?freq=A&amp;isced11=ED0-2&amp;isced11=ED5-8&amp;unit=PC&amp;geo=FR</t>
  </si>
  <si>
    <t xml:space="preserve">2019-2023 (2 points, irreguliere)</t>
  </si>
  <si>
    <t xml:space="preserve">Seule mesure trouvée de la transmission de la pauvreté entre générations (mobilité sociale, contenu explicite de la dimension), deux valeurs en 2019 et 2023 (7,6 puis 10,8 points ; D17, D28), jamais écartée pour sa seule brièveté (D32).</t>
  </si>
  <si>
    <t xml:space="preserve">part_femmes_victimes_violences</t>
  </si>
  <si>
    <t xml:space="preserve">Part des femmes parmi les victimes de violences physiques ou sexuelles au sein du ménage (18-75 ans)</t>
  </si>
  <si>
    <t xml:space="preserve">Part des femmes parmi les personnes de 18 à 75 ans déclarant avoir subi des violences physiques ou sexuelles de la part d'un membre de leur ménage (enquêtes de victimation ; indicateur ODD national 5.i3b).</t>
  </si>
  <si>
    <t xml:space="preserve">% des victimes</t>
  </si>
  <si>
    <t xml:space="preserve">INSEE (SSMSI) — BDM, indicateurs ODD (objectif 5)</t>
  </si>
  <si>
    <t xml:space="preserve">010594734</t>
  </si>
  <si>
    <t xml:space="preserve">2010-2023 (12 points, annuelle)</t>
  </si>
  <si>
    <t xml:space="preserve">Sens ambigu : une part ne dit rien du niveau des violences (elle monte si les violences contre les hommes baissent), et la série, 2010-2023 (12 points), passe de l'enquête Cadre de vie et sécurité à l'enquête Vécu et ressenti en matière de sécurité, avec deux années sans valeur (à lire sur la série).</t>
  </si>
  <si>
    <t xml:space="preserve">perception_inegalites</t>
  </si>
  <si>
    <t xml:space="preserve">societe_juste_percue</t>
  </si>
  <si>
    <t xml:space="preserve">Part des personnes jugeant la société française plutôt juste</t>
  </si>
  <si>
    <t xml:space="preserve">Part des personnes de 18 ans ou plus répondant que la société française leur paraît « plutôt juste » (baromètre d'opinion de la DREES, question IN01, non-réponses au dénominateur).</t>
  </si>
  <si>
    <t xml:space="preserve">data.drees.solidarites-sante.gouv.fr, jeu 431_le-barometre-d-opinion, pièces jointes barometre2000_2024_diff_csv et barometre2025_diff_csv ; variable IN01, modalités 1</t>
  </si>
  <si>
    <t xml:space="preserve">Seule mesure déclarative annuelle du jugement porté sur les inégalités, de 2000 à 2025 sans la seule année 2003 (26,5 % en 2000, 18,7 % en 2025).</t>
  </si>
  <si>
    <t xml:space="preserve">inegalites_percues_hausse</t>
  </si>
  <si>
    <t xml:space="preserve">Part des personnes estimant que les inégalités ont augmenté depuis cinq ans</t>
  </si>
  <si>
    <t xml:space="preserve">Part des personnes de 18 ans ou plus répondant que les inégalités en France « ont plutôt augmenté » depuis cinq ans (baromètre d'opinion de la DREES, question IN02, non-réponses au dénominateur).</t>
  </si>
  <si>
    <t xml:space="preserve">data.drees.solidarites-sante.gouv.fr, jeu 431_le-barometre-d-opinion, pièces jointes barometre2000_2024_diff_csv et barometre2025_diff_csv ; variable IN02, modalités 1</t>
  </si>
  <si>
    <t xml:space="preserve">Question voisine de la même enquête (2000-2025 sans 2003 ; 69,0 % en 2000, 85,7 % en 2025), proposée comme alternative dans la famille perception_inegalites.</t>
  </si>
  <si>
    <t xml:space="preserve">revenu_relatif_seniors</t>
  </si>
  <si>
    <t xml:space="preserve">Écart à la parité du revenu médian des 65 ans ou plus et des moins de 65 ans</t>
  </si>
  <si>
    <t xml:space="preserve">Écart absolu à 1 du rapport entre le revenu disponible équivalent médian des personnes de 65 ans ou plus et celui des moins de 65 ans (EU-SILC, jeu ilc_pnp2) ; 0 signifie l'égalité.</t>
  </si>
  <si>
    <t xml:space="preserve">Eurostat — ilc_pnp2 (EU-SILC et PCM)</t>
  </si>
  <si>
    <t xml:space="preserve">ilc_pnp2?freq=A&amp;statinfo=R_MED_I&amp;age=Y_GE65&amp;sex=T&amp;geo=FR</t>
  </si>
  <si>
    <t xml:space="preserve">2000-2025 (24 points, annuelle)</t>
  </si>
  <si>
    <t xml:space="preserve">Écart absolu à la parité (D34) du revenu médian des 65 ans ou plus rapporté à celui des moins de 65 ans, annuel de 2000 à 2025 sans 2002-2003 (24 points ; 0,10 en 2000, 0,01 en 2011, 0,03 en 2025), seule mesure de l'écart de niveau de vie entre générations.</t>
  </si>
  <si>
    <t xml:space="preserve">Dimension</t>
  </si>
  <si>
    <t xml:space="preserve">Égalités</t>
  </si>
  <si>
    <t xml:space="preserve">Indicateurs candidats (fiches)</t>
  </si>
  <si>
    <t xml:space="preserve">Familles distinctes</t>
  </si>
  <si>
    <t xml:space="preserve">Recommandations de l'agent</t>
  </si>
  <si>
    <t xml:space="preserve">  retenir</t>
  </si>
  <si>
    <t xml:space="preserve">  retenir_variante</t>
  </si>
  <si>
    <t xml:space="preserve">  ecarter</t>
  </si>
  <si>
    <t xml:space="preserve">Décisions par défaut</t>
  </si>
  <si>
    <t xml:space="preserve">  retenu_socle</t>
  </si>
  <si>
    <t xml:space="preserve">  retenu</t>
  </si>
  <si>
    <t xml:space="preserve">  ecarte</t>
  </si>
  <si>
    <t xml:space="preserve">  a_discuter</t>
  </si>
  <si>
    <t xml:space="preserve">Vos décisions saisies (exceptions)</t>
  </si>
  <si>
    <t xml:space="preserve">  dont retenu_socle</t>
  </si>
  <si>
    <t xml:space="preserve">  dont retenu</t>
  </si>
  <si>
    <t xml:space="preserve">  dont ecarte</t>
  </si>
  <si>
    <t xml:space="preserve">  dont a_discuter</t>
  </si>
  <si>
    <t xml:space="preserve">Les comptes se recalculent à l'ouverture dans Excel.</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</si>
</sst>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color rgb="FFFFFFFF"/>
      <name val="Arial"/>
      <family val="0"/>
      <charset val="1"/>
    </font>
    <font>
      <sz val="10"/>
      <name val="Arial"/>
      <family val="2"/>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FF2CC"/>
        <bgColor rgb="FFF2F2F2"/>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23.8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row>
    <row r="14" customFormat="false" ht="15" hidden="false" customHeight="false" outlineLevel="0" collapsed="false">
      <c r="A14" s="3"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row>
    <row r="21" customFormat="false" ht="1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44"/>
    <col collapsed="false" customWidth="true" hidden="false" outlineLevel="0" max="4" min="4" style="0" width="11"/>
    <col collapsed="false" customWidth="true" hidden="false" outlineLevel="0" max="5" min="5" style="0" width="60"/>
    <col collapsed="false" customWidth="true" hidden="false" outlineLevel="0" max="6" min="6" style="0" width="8"/>
    <col collapsed="false" customWidth="true" hidden="false" outlineLevel="0" max="7" min="7" style="0" width="18"/>
    <col collapsed="false" customWidth="true" hidden="false" outlineLevel="0" max="8" min="8" style="0" width="36"/>
    <col collapsed="false" customWidth="true" hidden="false" outlineLevel="0" max="9" min="9" style="0" width="30"/>
    <col collapsed="false" customWidth="true" hidden="false" outlineLevel="0" max="10" min="10" style="0" width="22"/>
    <col collapsed="false" customWidth="true" hidden="false" outlineLevel="0" max="13" min="11" style="0" width="10"/>
    <col collapsed="false" customWidth="true" hidden="false" outlineLevel="0" max="14" min="14" style="0" width="13"/>
    <col collapsed="false" customWidth="true" hidden="false" outlineLevel="0" max="15" min="15" style="0" width="16"/>
    <col collapsed="false" customWidth="true" hidden="false" outlineLevel="0" max="16" min="16" style="0" width="70"/>
    <col collapsed="false" customWidth="true" hidden="false" outlineLevel="0" max="17" min="17" style="0" width="18"/>
    <col collapsed="false" customWidth="true" hidden="false" outlineLevel="0" max="18" min="18" style="0" width="20"/>
    <col collapsed="false" customWidth="true" hidden="false" outlineLevel="0" max="19" min="19" style="0" width="40"/>
  </cols>
  <sheetData>
    <row r="1" customFormat="false" ht="42" hidden="false" customHeight="true" outlineLevel="0" collapsed="false">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row>
    <row r="2" customFormat="false" ht="60" hidden="false" customHeight="true" outlineLevel="0" collapsed="false">
      <c r="A2" s="5" t="s">
        <v>37</v>
      </c>
      <c r="B2" s="6" t="s">
        <v>37</v>
      </c>
      <c r="C2" s="5" t="s">
        <v>38</v>
      </c>
      <c r="D2" s="5" t="s">
        <v>39</v>
      </c>
      <c r="E2" s="5" t="s">
        <v>40</v>
      </c>
      <c r="F2" s="5" t="s">
        <v>41</v>
      </c>
      <c r="G2" s="5" t="s">
        <v>42</v>
      </c>
      <c r="H2" s="5" t="s">
        <v>43</v>
      </c>
      <c r="I2" s="5" t="s">
        <v>44</v>
      </c>
      <c r="J2" s="5" t="s">
        <v>45</v>
      </c>
      <c r="K2" s="5" t="s">
        <v>46</v>
      </c>
      <c r="L2" s="5" t="s">
        <v>47</v>
      </c>
      <c r="M2" s="5" t="s">
        <v>39</v>
      </c>
      <c r="N2" s="5" t="s">
        <v>47</v>
      </c>
      <c r="O2" s="5" t="s">
        <v>48</v>
      </c>
      <c r="P2" s="5" t="s">
        <v>49</v>
      </c>
      <c r="Q2" s="5" t="s">
        <v>50</v>
      </c>
      <c r="R2" s="7"/>
      <c r="S2" s="7"/>
    </row>
    <row r="3" customFormat="false" ht="60" hidden="false" customHeight="true" outlineLevel="0" collapsed="false">
      <c r="A3" s="5" t="s">
        <v>51</v>
      </c>
      <c r="B3" s="6" t="s">
        <v>52</v>
      </c>
      <c r="C3" s="5" t="s">
        <v>53</v>
      </c>
      <c r="D3" s="5" t="s">
        <v>39</v>
      </c>
      <c r="E3" s="5" t="s">
        <v>54</v>
      </c>
      <c r="F3" s="5" t="s">
        <v>41</v>
      </c>
      <c r="G3" s="5" t="s">
        <v>55</v>
      </c>
      <c r="H3" s="5" t="s">
        <v>56</v>
      </c>
      <c r="I3" s="5" t="s">
        <v>57</v>
      </c>
      <c r="J3" s="5" t="s">
        <v>58</v>
      </c>
      <c r="K3" s="5" t="s">
        <v>46</v>
      </c>
      <c r="L3" s="5" t="s">
        <v>47</v>
      </c>
      <c r="M3" s="5" t="s">
        <v>47</v>
      </c>
      <c r="N3" s="5" t="s">
        <v>47</v>
      </c>
      <c r="O3" s="5" t="s">
        <v>48</v>
      </c>
      <c r="P3" s="5" t="s">
        <v>59</v>
      </c>
      <c r="Q3" s="5" t="s">
        <v>50</v>
      </c>
      <c r="R3" s="7"/>
      <c r="S3" s="7"/>
    </row>
    <row r="4" customFormat="false" ht="60" hidden="false" customHeight="true" outlineLevel="0" collapsed="false">
      <c r="A4" s="5" t="s">
        <v>60</v>
      </c>
      <c r="B4" s="6" t="s">
        <v>60</v>
      </c>
      <c r="C4" s="5" t="s">
        <v>61</v>
      </c>
      <c r="D4" s="5" t="s">
        <v>39</v>
      </c>
      <c r="E4" s="5" t="s">
        <v>62</v>
      </c>
      <c r="F4" s="5" t="s">
        <v>41</v>
      </c>
      <c r="G4" s="5" t="s">
        <v>63</v>
      </c>
      <c r="H4" s="5" t="s">
        <v>64</v>
      </c>
      <c r="I4" s="5" t="s">
        <v>65</v>
      </c>
      <c r="J4" s="5" t="s">
        <v>66</v>
      </c>
      <c r="K4" s="5" t="s">
        <v>46</v>
      </c>
      <c r="L4" s="5" t="s">
        <v>39</v>
      </c>
      <c r="M4" s="5" t="s">
        <v>47</v>
      </c>
      <c r="N4" s="5" t="s">
        <v>47</v>
      </c>
      <c r="O4" s="5" t="s">
        <v>48</v>
      </c>
      <c r="P4" s="5" t="s">
        <v>67</v>
      </c>
      <c r="Q4" s="5" t="s">
        <v>50</v>
      </c>
      <c r="R4" s="7"/>
      <c r="S4" s="7"/>
    </row>
    <row r="5" customFormat="false" ht="60" hidden="false" customHeight="true" outlineLevel="0" collapsed="false">
      <c r="A5" s="5" t="s">
        <v>68</v>
      </c>
      <c r="B5" s="6" t="s">
        <v>69</v>
      </c>
      <c r="C5" s="5" t="s">
        <v>70</v>
      </c>
      <c r="D5" s="5" t="s">
        <v>39</v>
      </c>
      <c r="E5" s="5" t="s">
        <v>71</v>
      </c>
      <c r="F5" s="5" t="s">
        <v>41</v>
      </c>
      <c r="G5" s="5" t="s">
        <v>63</v>
      </c>
      <c r="H5" s="5" t="s">
        <v>72</v>
      </c>
      <c r="I5" s="5" t="s">
        <v>73</v>
      </c>
      <c r="J5" s="5" t="s">
        <v>74</v>
      </c>
      <c r="K5" s="5" t="s">
        <v>46</v>
      </c>
      <c r="L5" s="5" t="s">
        <v>39</v>
      </c>
      <c r="M5" s="5" t="s">
        <v>47</v>
      </c>
      <c r="N5" s="5" t="s">
        <v>47</v>
      </c>
      <c r="O5" s="5" t="s">
        <v>48</v>
      </c>
      <c r="P5" s="5" t="s">
        <v>75</v>
      </c>
      <c r="Q5" s="5" t="s">
        <v>50</v>
      </c>
      <c r="R5" s="7"/>
      <c r="S5" s="7"/>
    </row>
    <row r="6" customFormat="false" ht="60" hidden="false" customHeight="true" outlineLevel="0" collapsed="false">
      <c r="A6" s="5" t="s">
        <v>68</v>
      </c>
      <c r="B6" s="5" t="s">
        <v>76</v>
      </c>
      <c r="C6" s="5" t="s">
        <v>77</v>
      </c>
      <c r="D6" s="5" t="s">
        <v>47</v>
      </c>
      <c r="E6" s="5" t="s">
        <v>78</v>
      </c>
      <c r="F6" s="5" t="s">
        <v>79</v>
      </c>
      <c r="G6" s="5" t="s">
        <v>80</v>
      </c>
      <c r="H6" s="5" t="s">
        <v>81</v>
      </c>
      <c r="I6" s="5" t="s">
        <v>82</v>
      </c>
      <c r="J6" s="5" t="s">
        <v>83</v>
      </c>
      <c r="K6" s="5" t="s">
        <v>46</v>
      </c>
      <c r="L6" s="5" t="s">
        <v>47</v>
      </c>
      <c r="M6" s="5" t="s">
        <v>39</v>
      </c>
      <c r="N6" s="5" t="s">
        <v>47</v>
      </c>
      <c r="O6" s="5" t="s">
        <v>84</v>
      </c>
      <c r="P6" s="5" t="s">
        <v>85</v>
      </c>
      <c r="Q6" s="5" t="s">
        <v>50</v>
      </c>
      <c r="R6" s="7"/>
      <c r="S6" s="7"/>
    </row>
    <row r="7" customFormat="false" ht="60" hidden="false" customHeight="true" outlineLevel="0" collapsed="false">
      <c r="A7" s="5" t="s">
        <v>86</v>
      </c>
      <c r="B7" s="6" t="s">
        <v>87</v>
      </c>
      <c r="C7" s="5" t="s">
        <v>88</v>
      </c>
      <c r="D7" s="5" t="s">
        <v>39</v>
      </c>
      <c r="E7" s="5" t="s">
        <v>89</v>
      </c>
      <c r="F7" s="5" t="s">
        <v>41</v>
      </c>
      <c r="G7" s="5" t="s">
        <v>90</v>
      </c>
      <c r="H7" s="5" t="s">
        <v>91</v>
      </c>
      <c r="I7" s="5" t="s">
        <v>92</v>
      </c>
      <c r="J7" s="5" t="s">
        <v>93</v>
      </c>
      <c r="K7" s="5" t="s">
        <v>46</v>
      </c>
      <c r="L7" s="5" t="s">
        <v>47</v>
      </c>
      <c r="M7" s="5" t="s">
        <v>47</v>
      </c>
      <c r="N7" s="5" t="s">
        <v>47</v>
      </c>
      <c r="O7" s="5" t="s">
        <v>48</v>
      </c>
      <c r="P7" s="5" t="s">
        <v>94</v>
      </c>
      <c r="Q7" s="5" t="s">
        <v>50</v>
      </c>
      <c r="R7" s="7"/>
      <c r="S7" s="7"/>
    </row>
    <row r="8" customFormat="false" ht="60" hidden="false" customHeight="true" outlineLevel="0" collapsed="false">
      <c r="A8" s="5" t="s">
        <v>86</v>
      </c>
      <c r="B8" s="5" t="s">
        <v>95</v>
      </c>
      <c r="C8" s="5" t="s">
        <v>96</v>
      </c>
      <c r="D8" s="5" t="s">
        <v>47</v>
      </c>
      <c r="E8" s="5" t="s">
        <v>97</v>
      </c>
      <c r="F8" s="5" t="s">
        <v>41</v>
      </c>
      <c r="G8" s="5" t="s">
        <v>90</v>
      </c>
      <c r="H8" s="5" t="s">
        <v>98</v>
      </c>
      <c r="I8" s="5" t="s">
        <v>99</v>
      </c>
      <c r="J8" s="5" t="s">
        <v>93</v>
      </c>
      <c r="K8" s="5" t="s">
        <v>46</v>
      </c>
      <c r="L8" s="5" t="s">
        <v>47</v>
      </c>
      <c r="M8" s="5" t="s">
        <v>47</v>
      </c>
      <c r="N8" s="5" t="s">
        <v>47</v>
      </c>
      <c r="O8" s="5" t="s">
        <v>84</v>
      </c>
      <c r="P8" s="5" t="s">
        <v>100</v>
      </c>
      <c r="Q8" s="5" t="s">
        <v>50</v>
      </c>
      <c r="R8" s="7"/>
      <c r="S8" s="7"/>
    </row>
    <row r="9" customFormat="false" ht="60" hidden="false" customHeight="true" outlineLevel="0" collapsed="false">
      <c r="A9" s="5" t="s">
        <v>86</v>
      </c>
      <c r="B9" s="5" t="s">
        <v>101</v>
      </c>
      <c r="C9" s="5" t="s">
        <v>102</v>
      </c>
      <c r="D9" s="5" t="s">
        <v>47</v>
      </c>
      <c r="E9" s="5" t="s">
        <v>103</v>
      </c>
      <c r="F9" s="5" t="s">
        <v>41</v>
      </c>
      <c r="G9" s="5" t="s">
        <v>90</v>
      </c>
      <c r="H9" s="5" t="s">
        <v>104</v>
      </c>
      <c r="I9" s="5" t="s">
        <v>105</v>
      </c>
      <c r="J9" s="5" t="s">
        <v>106</v>
      </c>
      <c r="K9" s="5" t="s">
        <v>46</v>
      </c>
      <c r="L9" s="5" t="s">
        <v>47</v>
      </c>
      <c r="M9" s="5" t="s">
        <v>47</v>
      </c>
      <c r="N9" s="5" t="s">
        <v>47</v>
      </c>
      <c r="O9" s="5" t="s">
        <v>84</v>
      </c>
      <c r="P9" s="5" t="s">
        <v>107</v>
      </c>
      <c r="Q9" s="5" t="s">
        <v>50</v>
      </c>
      <c r="R9" s="7"/>
      <c r="S9" s="7"/>
    </row>
    <row r="10" customFormat="false" ht="60" hidden="false" customHeight="true" outlineLevel="0" collapsed="false">
      <c r="A10" s="5" t="s">
        <v>108</v>
      </c>
      <c r="B10" s="6" t="s">
        <v>108</v>
      </c>
      <c r="C10" s="5" t="s">
        <v>109</v>
      </c>
      <c r="D10" s="5" t="s">
        <v>39</v>
      </c>
      <c r="E10" s="5" t="s">
        <v>110</v>
      </c>
      <c r="F10" s="5" t="s">
        <v>41</v>
      </c>
      <c r="G10" s="5" t="s">
        <v>111</v>
      </c>
      <c r="H10" s="5" t="s">
        <v>112</v>
      </c>
      <c r="I10" s="5" t="s">
        <v>113</v>
      </c>
      <c r="J10" s="5" t="s">
        <v>114</v>
      </c>
      <c r="K10" s="5" t="s">
        <v>46</v>
      </c>
      <c r="L10" s="5" t="s">
        <v>47</v>
      </c>
      <c r="M10" s="5" t="s">
        <v>47</v>
      </c>
      <c r="N10" s="5" t="s">
        <v>47</v>
      </c>
      <c r="O10" s="5" t="s">
        <v>48</v>
      </c>
      <c r="P10" s="5" t="s">
        <v>115</v>
      </c>
      <c r="Q10" s="5" t="s">
        <v>50</v>
      </c>
      <c r="R10" s="7"/>
      <c r="S10" s="7"/>
    </row>
    <row r="11" customFormat="false" ht="60" hidden="false" customHeight="true" outlineLevel="0" collapsed="false">
      <c r="A11" s="5" t="s">
        <v>116</v>
      </c>
      <c r="B11" s="6" t="s">
        <v>117</v>
      </c>
      <c r="C11" s="5" t="s">
        <v>118</v>
      </c>
      <c r="D11" s="5" t="s">
        <v>39</v>
      </c>
      <c r="E11" s="5" t="s">
        <v>119</v>
      </c>
      <c r="F11" s="5" t="s">
        <v>41</v>
      </c>
      <c r="G11" s="5" t="s">
        <v>120</v>
      </c>
      <c r="H11" s="5" t="s">
        <v>121</v>
      </c>
      <c r="I11" s="5" t="s">
        <v>122</v>
      </c>
      <c r="J11" s="5" t="s">
        <v>123</v>
      </c>
      <c r="K11" s="5" t="s">
        <v>46</v>
      </c>
      <c r="L11" s="5" t="s">
        <v>47</v>
      </c>
      <c r="M11" s="5" t="s">
        <v>47</v>
      </c>
      <c r="N11" s="5" t="s">
        <v>47</v>
      </c>
      <c r="O11" s="5" t="s">
        <v>48</v>
      </c>
      <c r="P11" s="5" t="s">
        <v>124</v>
      </c>
      <c r="Q11" s="5" t="s">
        <v>50</v>
      </c>
      <c r="R11" s="7"/>
      <c r="S11" s="7"/>
    </row>
    <row r="12" customFormat="false" ht="60" hidden="false" customHeight="true" outlineLevel="0" collapsed="false">
      <c r="A12" s="5" t="s">
        <v>125</v>
      </c>
      <c r="B12" s="6" t="s">
        <v>125</v>
      </c>
      <c r="C12" s="5" t="s">
        <v>126</v>
      </c>
      <c r="D12" s="5" t="s">
        <v>39</v>
      </c>
      <c r="E12" s="5" t="s">
        <v>127</v>
      </c>
      <c r="F12" s="5" t="s">
        <v>41</v>
      </c>
      <c r="G12" s="5" t="s">
        <v>120</v>
      </c>
      <c r="H12" s="5" t="s">
        <v>128</v>
      </c>
      <c r="I12" s="5" t="s">
        <v>129</v>
      </c>
      <c r="J12" s="5" t="s">
        <v>93</v>
      </c>
      <c r="K12" s="5" t="s">
        <v>46</v>
      </c>
      <c r="L12" s="5" t="s">
        <v>47</v>
      </c>
      <c r="M12" s="5" t="s">
        <v>47</v>
      </c>
      <c r="N12" s="5" t="s">
        <v>47</v>
      </c>
      <c r="O12" s="5" t="s">
        <v>48</v>
      </c>
      <c r="P12" s="5" t="s">
        <v>130</v>
      </c>
      <c r="Q12" s="5" t="s">
        <v>50</v>
      </c>
      <c r="R12" s="7"/>
      <c r="S12" s="7"/>
    </row>
    <row r="13" customFormat="false" ht="60" hidden="false" customHeight="true" outlineLevel="0" collapsed="false">
      <c r="A13" s="5" t="s">
        <v>131</v>
      </c>
      <c r="B13" s="6" t="s">
        <v>131</v>
      </c>
      <c r="C13" s="5" t="s">
        <v>132</v>
      </c>
      <c r="D13" s="5" t="s">
        <v>39</v>
      </c>
      <c r="E13" s="5" t="s">
        <v>133</v>
      </c>
      <c r="F13" s="5" t="s">
        <v>41</v>
      </c>
      <c r="G13" s="5" t="s">
        <v>120</v>
      </c>
      <c r="H13" s="5" t="s">
        <v>134</v>
      </c>
      <c r="I13" s="5" t="s">
        <v>135</v>
      </c>
      <c r="J13" s="5" t="s">
        <v>106</v>
      </c>
      <c r="K13" s="5" t="s">
        <v>46</v>
      </c>
      <c r="L13" s="5" t="s">
        <v>47</v>
      </c>
      <c r="M13" s="5" t="s">
        <v>47</v>
      </c>
      <c r="N13" s="5" t="s">
        <v>47</v>
      </c>
      <c r="O13" s="5" t="s">
        <v>48</v>
      </c>
      <c r="P13" s="5" t="s">
        <v>136</v>
      </c>
      <c r="Q13" s="5" t="s">
        <v>50</v>
      </c>
      <c r="R13" s="7"/>
      <c r="S13" s="7"/>
    </row>
    <row r="14" customFormat="false" ht="60" hidden="false" customHeight="true" outlineLevel="0" collapsed="false">
      <c r="A14" s="5" t="s">
        <v>137</v>
      </c>
      <c r="B14" s="6" t="s">
        <v>138</v>
      </c>
      <c r="C14" s="5" t="s">
        <v>139</v>
      </c>
      <c r="D14" s="5" t="s">
        <v>39</v>
      </c>
      <c r="E14" s="5" t="s">
        <v>140</v>
      </c>
      <c r="F14" s="5" t="s">
        <v>41</v>
      </c>
      <c r="G14" s="5" t="s">
        <v>120</v>
      </c>
      <c r="H14" s="5" t="s">
        <v>141</v>
      </c>
      <c r="I14" s="5" t="s">
        <v>142</v>
      </c>
      <c r="J14" s="5" t="s">
        <v>143</v>
      </c>
      <c r="K14" s="5" t="s">
        <v>46</v>
      </c>
      <c r="L14" s="5" t="s">
        <v>47</v>
      </c>
      <c r="M14" s="5" t="s">
        <v>47</v>
      </c>
      <c r="N14" s="5" t="s">
        <v>47</v>
      </c>
      <c r="O14" s="5" t="s">
        <v>48</v>
      </c>
      <c r="P14" s="5" t="s">
        <v>144</v>
      </c>
      <c r="Q14" s="5" t="s">
        <v>50</v>
      </c>
      <c r="R14" s="7"/>
      <c r="S14" s="7"/>
    </row>
    <row r="15" customFormat="false" ht="60" hidden="false" customHeight="true" outlineLevel="0" collapsed="false">
      <c r="A15" s="5" t="s">
        <v>145</v>
      </c>
      <c r="B15" s="6" t="s">
        <v>145</v>
      </c>
      <c r="C15" s="5" t="s">
        <v>146</v>
      </c>
      <c r="D15" s="5" t="s">
        <v>39</v>
      </c>
      <c r="E15" s="5" t="s">
        <v>147</v>
      </c>
      <c r="F15" s="5" t="s">
        <v>41</v>
      </c>
      <c r="G15" s="5" t="s">
        <v>120</v>
      </c>
      <c r="H15" s="5" t="s">
        <v>148</v>
      </c>
      <c r="I15" s="5" t="s">
        <v>149</v>
      </c>
      <c r="J15" s="5" t="s">
        <v>150</v>
      </c>
      <c r="K15" s="5" t="s">
        <v>46</v>
      </c>
      <c r="L15" s="5" t="s">
        <v>47</v>
      </c>
      <c r="M15" s="5" t="s">
        <v>47</v>
      </c>
      <c r="N15" s="5" t="s">
        <v>39</v>
      </c>
      <c r="O15" s="5" t="s">
        <v>48</v>
      </c>
      <c r="P15" s="5" t="s">
        <v>151</v>
      </c>
      <c r="Q15" s="5" t="s">
        <v>152</v>
      </c>
      <c r="R15" s="7"/>
      <c r="S15" s="7"/>
    </row>
    <row r="16" customFormat="false" ht="60" hidden="false" customHeight="true" outlineLevel="0" collapsed="false">
      <c r="A16" s="5" t="s">
        <v>153</v>
      </c>
      <c r="B16" s="6" t="s">
        <v>153</v>
      </c>
      <c r="C16" s="5" t="s">
        <v>154</v>
      </c>
      <c r="D16" s="5" t="s">
        <v>39</v>
      </c>
      <c r="E16" s="5" t="s">
        <v>155</v>
      </c>
      <c r="F16" s="5" t="s">
        <v>41</v>
      </c>
      <c r="G16" s="5" t="s">
        <v>120</v>
      </c>
      <c r="H16" s="5" t="s">
        <v>156</v>
      </c>
      <c r="I16" s="5" t="s">
        <v>157</v>
      </c>
      <c r="J16" s="5" t="s">
        <v>158</v>
      </c>
      <c r="K16" s="5" t="s">
        <v>46</v>
      </c>
      <c r="L16" s="5" t="s">
        <v>47</v>
      </c>
      <c r="M16" s="5" t="s">
        <v>47</v>
      </c>
      <c r="N16" s="5" t="s">
        <v>47</v>
      </c>
      <c r="O16" s="5" t="s">
        <v>48</v>
      </c>
      <c r="P16" s="5" t="s">
        <v>159</v>
      </c>
      <c r="Q16" s="5" t="s">
        <v>50</v>
      </c>
      <c r="R16" s="7"/>
      <c r="S16" s="7"/>
    </row>
    <row r="17" customFormat="false" ht="60" hidden="false" customHeight="true" outlineLevel="0" collapsed="false">
      <c r="A17" s="5" t="s">
        <v>160</v>
      </c>
      <c r="B17" s="6" t="s">
        <v>161</v>
      </c>
      <c r="C17" s="5" t="s">
        <v>162</v>
      </c>
      <c r="D17" s="5" t="s">
        <v>39</v>
      </c>
      <c r="E17" s="5" t="s">
        <v>163</v>
      </c>
      <c r="F17" s="5" t="s">
        <v>41</v>
      </c>
      <c r="G17" s="5" t="s">
        <v>120</v>
      </c>
      <c r="H17" s="5" t="s">
        <v>164</v>
      </c>
      <c r="I17" s="5" t="s">
        <v>165</v>
      </c>
      <c r="J17" s="5" t="s">
        <v>93</v>
      </c>
      <c r="K17" s="5" t="s">
        <v>46</v>
      </c>
      <c r="L17" s="5" t="s">
        <v>47</v>
      </c>
      <c r="M17" s="5" t="s">
        <v>47</v>
      </c>
      <c r="N17" s="5" t="s">
        <v>47</v>
      </c>
      <c r="O17" s="5" t="s">
        <v>48</v>
      </c>
      <c r="P17" s="5" t="s">
        <v>166</v>
      </c>
      <c r="Q17" s="5" t="s">
        <v>50</v>
      </c>
      <c r="R17" s="7"/>
      <c r="S17" s="7"/>
    </row>
    <row r="18" customFormat="false" ht="60" hidden="false" customHeight="true" outlineLevel="0" collapsed="false">
      <c r="A18" s="5" t="s">
        <v>160</v>
      </c>
      <c r="B18" s="5" t="s">
        <v>167</v>
      </c>
      <c r="C18" s="5" t="s">
        <v>168</v>
      </c>
      <c r="D18" s="5" t="s">
        <v>47</v>
      </c>
      <c r="E18" s="5" t="s">
        <v>169</v>
      </c>
      <c r="F18" s="5" t="s">
        <v>41</v>
      </c>
      <c r="G18" s="5" t="s">
        <v>120</v>
      </c>
      <c r="H18" s="5" t="s">
        <v>170</v>
      </c>
      <c r="I18" s="5" t="s">
        <v>171</v>
      </c>
      <c r="J18" s="5" t="s">
        <v>93</v>
      </c>
      <c r="K18" s="5" t="s">
        <v>46</v>
      </c>
      <c r="L18" s="5" t="s">
        <v>47</v>
      </c>
      <c r="M18" s="5" t="s">
        <v>47</v>
      </c>
      <c r="N18" s="5" t="s">
        <v>47</v>
      </c>
      <c r="O18" s="5" t="s">
        <v>84</v>
      </c>
      <c r="P18" s="5" t="s">
        <v>172</v>
      </c>
      <c r="Q18" s="5" t="s">
        <v>50</v>
      </c>
      <c r="R18" s="7"/>
      <c r="S18" s="7"/>
    </row>
    <row r="19" customFormat="false" ht="60" hidden="false" customHeight="true" outlineLevel="0" collapsed="false">
      <c r="A19" s="5" t="s">
        <v>173</v>
      </c>
      <c r="B19" s="6" t="s">
        <v>174</v>
      </c>
      <c r="C19" s="5" t="s">
        <v>175</v>
      </c>
      <c r="D19" s="5" t="s">
        <v>39</v>
      </c>
      <c r="E19" s="5" t="s">
        <v>176</v>
      </c>
      <c r="F19" s="5" t="s">
        <v>41</v>
      </c>
      <c r="G19" s="5" t="s">
        <v>120</v>
      </c>
      <c r="H19" s="5" t="s">
        <v>177</v>
      </c>
      <c r="I19" s="5" t="s">
        <v>178</v>
      </c>
      <c r="J19" s="5" t="s">
        <v>143</v>
      </c>
      <c r="K19" s="5" t="s">
        <v>46</v>
      </c>
      <c r="L19" s="5" t="s">
        <v>47</v>
      </c>
      <c r="M19" s="5" t="s">
        <v>47</v>
      </c>
      <c r="N19" s="5" t="s">
        <v>47</v>
      </c>
      <c r="O19" s="5" t="s">
        <v>48</v>
      </c>
      <c r="P19" s="5" t="s">
        <v>179</v>
      </c>
      <c r="Q19" s="5" t="s">
        <v>50</v>
      </c>
      <c r="R19" s="7"/>
      <c r="S19" s="7"/>
    </row>
    <row r="20" customFormat="false" ht="60" hidden="false" customHeight="true" outlineLevel="0" collapsed="false">
      <c r="A20" s="5" t="s">
        <v>180</v>
      </c>
      <c r="B20" s="6" t="s">
        <v>181</v>
      </c>
      <c r="C20" s="5" t="s">
        <v>182</v>
      </c>
      <c r="D20" s="5" t="s">
        <v>39</v>
      </c>
      <c r="E20" s="5" t="s">
        <v>183</v>
      </c>
      <c r="F20" s="5" t="s">
        <v>41</v>
      </c>
      <c r="G20" s="5" t="s">
        <v>120</v>
      </c>
      <c r="H20" s="5" t="s">
        <v>184</v>
      </c>
      <c r="I20" s="5" t="s">
        <v>185</v>
      </c>
      <c r="J20" s="5" t="s">
        <v>186</v>
      </c>
      <c r="K20" s="5" t="s">
        <v>46</v>
      </c>
      <c r="L20" s="5" t="s">
        <v>47</v>
      </c>
      <c r="M20" s="5" t="s">
        <v>47</v>
      </c>
      <c r="N20" s="5" t="s">
        <v>47</v>
      </c>
      <c r="O20" s="5" t="s">
        <v>48</v>
      </c>
      <c r="P20" s="5" t="s">
        <v>187</v>
      </c>
      <c r="Q20" s="5" t="s">
        <v>50</v>
      </c>
      <c r="R20" s="7"/>
      <c r="S20" s="7"/>
    </row>
    <row r="21" customFormat="false" ht="60" hidden="false" customHeight="true" outlineLevel="0" collapsed="false">
      <c r="A21" s="5" t="s">
        <v>188</v>
      </c>
      <c r="B21" s="6" t="s">
        <v>188</v>
      </c>
      <c r="C21" s="5" t="s">
        <v>189</v>
      </c>
      <c r="D21" s="5" t="s">
        <v>39</v>
      </c>
      <c r="E21" s="5" t="s">
        <v>190</v>
      </c>
      <c r="F21" s="5" t="s">
        <v>41</v>
      </c>
      <c r="G21" s="5" t="s">
        <v>120</v>
      </c>
      <c r="H21" s="5" t="s">
        <v>191</v>
      </c>
      <c r="I21" s="5" t="s">
        <v>192</v>
      </c>
      <c r="J21" s="5" t="s">
        <v>193</v>
      </c>
      <c r="K21" s="5" t="s">
        <v>46</v>
      </c>
      <c r="L21" s="5" t="s">
        <v>47</v>
      </c>
      <c r="M21" s="5" t="s">
        <v>47</v>
      </c>
      <c r="N21" s="5" t="s">
        <v>47</v>
      </c>
      <c r="O21" s="5" t="s">
        <v>48</v>
      </c>
      <c r="P21" s="5" t="s">
        <v>194</v>
      </c>
      <c r="Q21" s="5" t="s">
        <v>50</v>
      </c>
      <c r="R21" s="7"/>
      <c r="S21" s="7"/>
    </row>
    <row r="22" customFormat="false" ht="60" hidden="false" customHeight="true" outlineLevel="0" collapsed="false">
      <c r="A22" s="5" t="s">
        <v>195</v>
      </c>
      <c r="B22" s="6" t="s">
        <v>196</v>
      </c>
      <c r="C22" s="5" t="s">
        <v>197</v>
      </c>
      <c r="D22" s="5" t="s">
        <v>39</v>
      </c>
      <c r="E22" s="5" t="s">
        <v>198</v>
      </c>
      <c r="F22" s="5" t="s">
        <v>41</v>
      </c>
      <c r="G22" s="5" t="s">
        <v>120</v>
      </c>
      <c r="H22" s="5" t="s">
        <v>199</v>
      </c>
      <c r="I22" s="5" t="s">
        <v>200</v>
      </c>
      <c r="J22" s="5" t="s">
        <v>201</v>
      </c>
      <c r="K22" s="5" t="s">
        <v>46</v>
      </c>
      <c r="L22" s="5" t="s">
        <v>47</v>
      </c>
      <c r="M22" s="5" t="s">
        <v>47</v>
      </c>
      <c r="N22" s="5" t="s">
        <v>47</v>
      </c>
      <c r="O22" s="5" t="s">
        <v>48</v>
      </c>
      <c r="P22" s="5" t="s">
        <v>202</v>
      </c>
      <c r="Q22" s="5" t="s">
        <v>50</v>
      </c>
      <c r="R22" s="7"/>
      <c r="S22" s="7"/>
    </row>
    <row r="23" customFormat="false" ht="60" hidden="false" customHeight="true" outlineLevel="0" collapsed="false">
      <c r="A23" s="5" t="s">
        <v>203</v>
      </c>
      <c r="B23" s="6" t="s">
        <v>204</v>
      </c>
      <c r="C23" s="5" t="s">
        <v>205</v>
      </c>
      <c r="D23" s="5" t="s">
        <v>39</v>
      </c>
      <c r="E23" s="5" t="s">
        <v>206</v>
      </c>
      <c r="F23" s="5" t="s">
        <v>41</v>
      </c>
      <c r="G23" s="5" t="s">
        <v>120</v>
      </c>
      <c r="H23" s="5" t="s">
        <v>207</v>
      </c>
      <c r="I23" s="5" t="s">
        <v>208</v>
      </c>
      <c r="J23" s="5" t="s">
        <v>201</v>
      </c>
      <c r="K23" s="5" t="s">
        <v>46</v>
      </c>
      <c r="L23" s="5" t="s">
        <v>47</v>
      </c>
      <c r="M23" s="5" t="s">
        <v>47</v>
      </c>
      <c r="N23" s="5" t="s">
        <v>47</v>
      </c>
      <c r="O23" s="5" t="s">
        <v>48</v>
      </c>
      <c r="P23" s="5" t="s">
        <v>209</v>
      </c>
      <c r="Q23" s="5" t="s">
        <v>50</v>
      </c>
      <c r="R23" s="7"/>
      <c r="S23" s="7"/>
    </row>
    <row r="24" customFormat="false" ht="60" hidden="false" customHeight="true" outlineLevel="0" collapsed="false">
      <c r="A24" s="5" t="s">
        <v>203</v>
      </c>
      <c r="B24" s="5" t="s">
        <v>210</v>
      </c>
      <c r="C24" s="5" t="s">
        <v>211</v>
      </c>
      <c r="D24" s="5" t="s">
        <v>47</v>
      </c>
      <c r="E24" s="5" t="s">
        <v>212</v>
      </c>
      <c r="F24" s="5" t="s">
        <v>41</v>
      </c>
      <c r="G24" s="5" t="s">
        <v>213</v>
      </c>
      <c r="H24" s="5" t="s">
        <v>214</v>
      </c>
      <c r="I24" s="5" t="s">
        <v>215</v>
      </c>
      <c r="J24" s="5" t="s">
        <v>201</v>
      </c>
      <c r="K24" s="5" t="s">
        <v>46</v>
      </c>
      <c r="L24" s="5" t="s">
        <v>47</v>
      </c>
      <c r="M24" s="5" t="s">
        <v>47</v>
      </c>
      <c r="N24" s="5" t="s">
        <v>47</v>
      </c>
      <c r="O24" s="5" t="s">
        <v>84</v>
      </c>
      <c r="P24" s="5" t="s">
        <v>216</v>
      </c>
      <c r="Q24" s="5" t="s">
        <v>50</v>
      </c>
      <c r="R24" s="7"/>
      <c r="S24" s="7"/>
    </row>
    <row r="25" customFormat="false" ht="60" hidden="false" customHeight="true" outlineLevel="0" collapsed="false">
      <c r="A25" s="5" t="s">
        <v>217</v>
      </c>
      <c r="B25" s="6" t="s">
        <v>217</v>
      </c>
      <c r="C25" s="5" t="s">
        <v>218</v>
      </c>
      <c r="D25" s="5" t="s">
        <v>39</v>
      </c>
      <c r="E25" s="5" t="s">
        <v>219</v>
      </c>
      <c r="F25" s="5" t="s">
        <v>41</v>
      </c>
      <c r="G25" s="5" t="s">
        <v>220</v>
      </c>
      <c r="H25" s="5" t="s">
        <v>221</v>
      </c>
      <c r="I25" s="5" t="s">
        <v>222</v>
      </c>
      <c r="J25" s="5" t="s">
        <v>186</v>
      </c>
      <c r="K25" s="5" t="s">
        <v>46</v>
      </c>
      <c r="L25" s="5" t="s">
        <v>47</v>
      </c>
      <c r="M25" s="5" t="s">
        <v>47</v>
      </c>
      <c r="N25" s="5" t="s">
        <v>47</v>
      </c>
      <c r="O25" s="5" t="s">
        <v>48</v>
      </c>
      <c r="P25" s="5" t="s">
        <v>223</v>
      </c>
      <c r="Q25" s="5" t="s">
        <v>50</v>
      </c>
      <c r="R25" s="7"/>
      <c r="S25" s="7"/>
    </row>
    <row r="26" customFormat="false" ht="60" hidden="false" customHeight="true" outlineLevel="0" collapsed="false">
      <c r="A26" s="5" t="s">
        <v>224</v>
      </c>
      <c r="B26" s="6" t="s">
        <v>225</v>
      </c>
      <c r="C26" s="5" t="s">
        <v>226</v>
      </c>
      <c r="D26" s="5" t="s">
        <v>39</v>
      </c>
      <c r="E26" s="5" t="s">
        <v>227</v>
      </c>
      <c r="F26" s="5" t="s">
        <v>41</v>
      </c>
      <c r="G26" s="5" t="s">
        <v>120</v>
      </c>
      <c r="H26" s="5" t="s">
        <v>228</v>
      </c>
      <c r="I26" s="5" t="s">
        <v>229</v>
      </c>
      <c r="J26" s="5" t="s">
        <v>230</v>
      </c>
      <c r="K26" s="5" t="s">
        <v>46</v>
      </c>
      <c r="L26" s="5" t="s">
        <v>47</v>
      </c>
      <c r="M26" s="5" t="s">
        <v>47</v>
      </c>
      <c r="N26" s="5" t="s">
        <v>47</v>
      </c>
      <c r="O26" s="5" t="s">
        <v>48</v>
      </c>
      <c r="P26" s="5" t="s">
        <v>231</v>
      </c>
      <c r="Q26" s="5" t="s">
        <v>50</v>
      </c>
      <c r="R26" s="7"/>
      <c r="S26" s="7"/>
    </row>
    <row r="27" customFormat="false" ht="60" hidden="false" customHeight="true" outlineLevel="0" collapsed="false">
      <c r="A27" s="5" t="s">
        <v>232</v>
      </c>
      <c r="B27" s="6" t="s">
        <v>232</v>
      </c>
      <c r="C27" s="5" t="s">
        <v>233</v>
      </c>
      <c r="D27" s="5" t="s">
        <v>39</v>
      </c>
      <c r="E27" s="5" t="s">
        <v>234</v>
      </c>
      <c r="F27" s="5" t="s">
        <v>41</v>
      </c>
      <c r="G27" s="5" t="s">
        <v>235</v>
      </c>
      <c r="H27" s="5" t="s">
        <v>236</v>
      </c>
      <c r="I27" s="5" t="s">
        <v>237</v>
      </c>
      <c r="J27" s="5" t="s">
        <v>238</v>
      </c>
      <c r="K27" s="5" t="s">
        <v>46</v>
      </c>
      <c r="L27" s="5" t="s">
        <v>47</v>
      </c>
      <c r="M27" s="5" t="s">
        <v>47</v>
      </c>
      <c r="N27" s="5" t="s">
        <v>39</v>
      </c>
      <c r="O27" s="5" t="s">
        <v>48</v>
      </c>
      <c r="P27" s="5" t="s">
        <v>239</v>
      </c>
      <c r="Q27" s="5" t="s">
        <v>152</v>
      </c>
      <c r="R27" s="7"/>
      <c r="S27" s="7"/>
    </row>
    <row r="28" customFormat="false" ht="60" hidden="false" customHeight="true" outlineLevel="0" collapsed="false">
      <c r="A28" s="5" t="s">
        <v>232</v>
      </c>
      <c r="B28" s="5" t="s">
        <v>240</v>
      </c>
      <c r="C28" s="5" t="s">
        <v>241</v>
      </c>
      <c r="D28" s="5" t="s">
        <v>47</v>
      </c>
      <c r="E28" s="5" t="s">
        <v>242</v>
      </c>
      <c r="F28" s="5" t="s">
        <v>41</v>
      </c>
      <c r="G28" s="5" t="s">
        <v>243</v>
      </c>
      <c r="H28" s="5" t="s">
        <v>244</v>
      </c>
      <c r="I28" s="5" t="s">
        <v>245</v>
      </c>
      <c r="J28" s="5" t="s">
        <v>246</v>
      </c>
      <c r="K28" s="5" t="s">
        <v>46</v>
      </c>
      <c r="L28" s="5" t="s">
        <v>47</v>
      </c>
      <c r="M28" s="5" t="s">
        <v>47</v>
      </c>
      <c r="N28" s="5" t="s">
        <v>39</v>
      </c>
      <c r="O28" s="5" t="s">
        <v>84</v>
      </c>
      <c r="P28" s="5" t="s">
        <v>247</v>
      </c>
      <c r="Q28" s="5" t="s">
        <v>50</v>
      </c>
      <c r="R28" s="7"/>
      <c r="S28" s="7"/>
    </row>
    <row r="29" customFormat="false" ht="60" hidden="false" customHeight="true" outlineLevel="0" collapsed="false">
      <c r="A29" s="5" t="s">
        <v>248</v>
      </c>
      <c r="B29" s="6" t="s">
        <v>249</v>
      </c>
      <c r="C29" s="5" t="s">
        <v>250</v>
      </c>
      <c r="D29" s="5" t="s">
        <v>39</v>
      </c>
      <c r="E29" s="5" t="s">
        <v>251</v>
      </c>
      <c r="F29" s="5" t="s">
        <v>41</v>
      </c>
      <c r="G29" s="5" t="s">
        <v>120</v>
      </c>
      <c r="H29" s="5" t="s">
        <v>252</v>
      </c>
      <c r="I29" s="5" t="s">
        <v>253</v>
      </c>
      <c r="J29" s="5" t="s">
        <v>254</v>
      </c>
      <c r="K29" s="5" t="s">
        <v>46</v>
      </c>
      <c r="L29" s="5" t="s">
        <v>39</v>
      </c>
      <c r="M29" s="5" t="s">
        <v>47</v>
      </c>
      <c r="N29" s="5" t="s">
        <v>47</v>
      </c>
      <c r="O29" s="5" t="s">
        <v>48</v>
      </c>
      <c r="P29" s="5" t="s">
        <v>255</v>
      </c>
      <c r="Q29" s="5" t="s">
        <v>50</v>
      </c>
      <c r="R29" s="7"/>
      <c r="S29" s="7"/>
    </row>
    <row r="30" customFormat="false" ht="60" hidden="false" customHeight="true" outlineLevel="0" collapsed="false">
      <c r="A30" s="5" t="s">
        <v>256</v>
      </c>
      <c r="B30" s="6" t="s">
        <v>256</v>
      </c>
      <c r="C30" s="5" t="s">
        <v>257</v>
      </c>
      <c r="D30" s="5" t="s">
        <v>39</v>
      </c>
      <c r="E30" s="5" t="s">
        <v>258</v>
      </c>
      <c r="F30" s="5" t="s">
        <v>41</v>
      </c>
      <c r="G30" s="5" t="s">
        <v>120</v>
      </c>
      <c r="H30" s="5" t="s">
        <v>259</v>
      </c>
      <c r="I30" s="5" t="s">
        <v>260</v>
      </c>
      <c r="J30" s="5" t="s">
        <v>93</v>
      </c>
      <c r="K30" s="5" t="s">
        <v>46</v>
      </c>
      <c r="L30" s="5" t="s">
        <v>47</v>
      </c>
      <c r="M30" s="5" t="s">
        <v>47</v>
      </c>
      <c r="N30" s="5" t="s">
        <v>47</v>
      </c>
      <c r="O30" s="5" t="s">
        <v>48</v>
      </c>
      <c r="P30" s="5" t="s">
        <v>261</v>
      </c>
      <c r="Q30" s="5" t="s">
        <v>50</v>
      </c>
      <c r="R30" s="7"/>
      <c r="S30" s="7"/>
    </row>
    <row r="31" customFormat="false" ht="60" hidden="false" customHeight="true" outlineLevel="0" collapsed="false">
      <c r="A31" s="5" t="s">
        <v>262</v>
      </c>
      <c r="B31" s="6" t="s">
        <v>262</v>
      </c>
      <c r="C31" s="5" t="s">
        <v>263</v>
      </c>
      <c r="D31" s="5" t="s">
        <v>39</v>
      </c>
      <c r="E31" s="5" t="s">
        <v>264</v>
      </c>
      <c r="F31" s="5" t="s">
        <v>41</v>
      </c>
      <c r="G31" s="5" t="s">
        <v>120</v>
      </c>
      <c r="H31" s="5" t="s">
        <v>148</v>
      </c>
      <c r="I31" s="5" t="s">
        <v>265</v>
      </c>
      <c r="J31" s="5" t="s">
        <v>150</v>
      </c>
      <c r="K31" s="5" t="s">
        <v>46</v>
      </c>
      <c r="L31" s="5" t="s">
        <v>47</v>
      </c>
      <c r="M31" s="5" t="s">
        <v>47</v>
      </c>
      <c r="N31" s="5" t="s">
        <v>47</v>
      </c>
      <c r="O31" s="5" t="s">
        <v>48</v>
      </c>
      <c r="P31" s="5" t="s">
        <v>266</v>
      </c>
      <c r="Q31" s="5" t="s">
        <v>50</v>
      </c>
      <c r="R31" s="7"/>
      <c r="S31" s="7"/>
    </row>
    <row r="32" customFormat="false" ht="60" hidden="false" customHeight="true" outlineLevel="0" collapsed="false">
      <c r="A32" s="5" t="s">
        <v>267</v>
      </c>
      <c r="B32" s="6" t="s">
        <v>267</v>
      </c>
      <c r="C32" s="5" t="s">
        <v>268</v>
      </c>
      <c r="D32" s="5" t="s">
        <v>39</v>
      </c>
      <c r="E32" s="5" t="s">
        <v>269</v>
      </c>
      <c r="F32" s="5" t="s">
        <v>270</v>
      </c>
      <c r="G32" s="5" t="s">
        <v>111</v>
      </c>
      <c r="H32" s="5" t="s">
        <v>271</v>
      </c>
      <c r="I32" s="5" t="s">
        <v>272</v>
      </c>
      <c r="J32" s="5" t="s">
        <v>273</v>
      </c>
      <c r="K32" s="5" t="s">
        <v>274</v>
      </c>
      <c r="L32" s="5" t="s">
        <v>47</v>
      </c>
      <c r="M32" s="5" t="s">
        <v>47</v>
      </c>
      <c r="N32" s="5" t="s">
        <v>47</v>
      </c>
      <c r="O32" s="5" t="s">
        <v>275</v>
      </c>
      <c r="P32" s="5" t="s">
        <v>276</v>
      </c>
      <c r="Q32" s="5" t="s">
        <v>277</v>
      </c>
      <c r="R32" s="7"/>
      <c r="S32" s="7"/>
    </row>
    <row r="33" customFormat="false" ht="60" hidden="false" customHeight="true" outlineLevel="0" collapsed="false">
      <c r="A33" s="5" t="s">
        <v>278</v>
      </c>
      <c r="B33" s="6" t="s">
        <v>278</v>
      </c>
      <c r="C33" s="5" t="s">
        <v>279</v>
      </c>
      <c r="D33" s="5" t="s">
        <v>39</v>
      </c>
      <c r="E33" s="5" t="s">
        <v>280</v>
      </c>
      <c r="F33" s="5" t="s">
        <v>79</v>
      </c>
      <c r="G33" s="5" t="s">
        <v>281</v>
      </c>
      <c r="H33" s="5" t="s">
        <v>282</v>
      </c>
      <c r="I33" s="5" t="s">
        <v>283</v>
      </c>
      <c r="J33" s="5" t="s">
        <v>284</v>
      </c>
      <c r="K33" s="5" t="s">
        <v>46</v>
      </c>
      <c r="L33" s="5" t="s">
        <v>47</v>
      </c>
      <c r="M33" s="5" t="s">
        <v>47</v>
      </c>
      <c r="N33" s="5" t="s">
        <v>47</v>
      </c>
      <c r="O33" s="5" t="s">
        <v>48</v>
      </c>
      <c r="P33" s="5" t="s">
        <v>285</v>
      </c>
      <c r="Q33" s="5" t="s">
        <v>50</v>
      </c>
      <c r="R33" s="7"/>
      <c r="S33" s="7"/>
    </row>
    <row r="34" customFormat="false" ht="60" hidden="false" customHeight="true" outlineLevel="0" collapsed="false">
      <c r="A34" s="5" t="s">
        <v>286</v>
      </c>
      <c r="B34" s="6" t="s">
        <v>286</v>
      </c>
      <c r="C34" s="5" t="s">
        <v>287</v>
      </c>
      <c r="D34" s="5" t="s">
        <v>39</v>
      </c>
      <c r="E34" s="5" t="s">
        <v>288</v>
      </c>
      <c r="F34" s="5" t="s">
        <v>79</v>
      </c>
      <c r="G34" s="5" t="s">
        <v>289</v>
      </c>
      <c r="H34" s="5" t="s">
        <v>290</v>
      </c>
      <c r="I34" s="5" t="s">
        <v>291</v>
      </c>
      <c r="J34" s="5" t="s">
        <v>273</v>
      </c>
      <c r="K34" s="5" t="s">
        <v>46</v>
      </c>
      <c r="L34" s="5" t="s">
        <v>47</v>
      </c>
      <c r="M34" s="5" t="s">
        <v>47</v>
      </c>
      <c r="N34" s="5" t="s">
        <v>47</v>
      </c>
      <c r="O34" s="5" t="s">
        <v>48</v>
      </c>
      <c r="P34" s="5" t="s">
        <v>292</v>
      </c>
      <c r="Q34" s="5" t="s">
        <v>50</v>
      </c>
      <c r="R34" s="7"/>
      <c r="S34" s="7"/>
    </row>
    <row r="35" customFormat="false" ht="60" hidden="false" customHeight="true" outlineLevel="0" collapsed="false">
      <c r="A35" s="5" t="s">
        <v>286</v>
      </c>
      <c r="B35" s="5" t="s">
        <v>293</v>
      </c>
      <c r="C35" s="5" t="s">
        <v>294</v>
      </c>
      <c r="D35" s="5" t="s">
        <v>47</v>
      </c>
      <c r="E35" s="5" t="s">
        <v>295</v>
      </c>
      <c r="F35" s="5" t="s">
        <v>79</v>
      </c>
      <c r="G35" s="5" t="s">
        <v>296</v>
      </c>
      <c r="H35" s="5" t="s">
        <v>297</v>
      </c>
      <c r="I35" s="5" t="s">
        <v>298</v>
      </c>
      <c r="J35" s="5" t="s">
        <v>201</v>
      </c>
      <c r="K35" s="5" t="s">
        <v>46</v>
      </c>
      <c r="L35" s="5" t="s">
        <v>47</v>
      </c>
      <c r="M35" s="5" t="s">
        <v>47</v>
      </c>
      <c r="N35" s="5" t="s">
        <v>47</v>
      </c>
      <c r="O35" s="5" t="s">
        <v>84</v>
      </c>
      <c r="P35" s="5" t="s">
        <v>299</v>
      </c>
      <c r="Q35" s="5" t="s">
        <v>50</v>
      </c>
      <c r="R35" s="7"/>
      <c r="S35" s="7"/>
    </row>
    <row r="36" customFormat="false" ht="60" hidden="false" customHeight="true" outlineLevel="0" collapsed="false">
      <c r="A36" s="5" t="s">
        <v>300</v>
      </c>
      <c r="B36" s="6" t="s">
        <v>300</v>
      </c>
      <c r="C36" s="5" t="s">
        <v>301</v>
      </c>
      <c r="D36" s="5" t="s">
        <v>39</v>
      </c>
      <c r="E36" s="5" t="s">
        <v>302</v>
      </c>
      <c r="F36" s="5" t="s">
        <v>79</v>
      </c>
      <c r="G36" s="5" t="s">
        <v>303</v>
      </c>
      <c r="H36" s="5" t="s">
        <v>304</v>
      </c>
      <c r="I36" s="5" t="s">
        <v>305</v>
      </c>
      <c r="J36" s="5" t="s">
        <v>106</v>
      </c>
      <c r="K36" s="5" t="s">
        <v>46</v>
      </c>
      <c r="L36" s="5" t="s">
        <v>47</v>
      </c>
      <c r="M36" s="5" t="s">
        <v>47</v>
      </c>
      <c r="N36" s="5" t="s">
        <v>47</v>
      </c>
      <c r="O36" s="5" t="s">
        <v>48</v>
      </c>
      <c r="P36" s="5" t="s">
        <v>306</v>
      </c>
      <c r="Q36" s="5" t="s">
        <v>50</v>
      </c>
      <c r="R36" s="7"/>
      <c r="S36" s="7"/>
    </row>
    <row r="37" customFormat="false" ht="60" hidden="false" customHeight="true" outlineLevel="0" collapsed="false">
      <c r="A37" s="5" t="s">
        <v>307</v>
      </c>
      <c r="B37" s="6" t="s">
        <v>308</v>
      </c>
      <c r="C37" s="5" t="s">
        <v>309</v>
      </c>
      <c r="D37" s="5" t="s">
        <v>39</v>
      </c>
      <c r="E37" s="5" t="s">
        <v>310</v>
      </c>
      <c r="F37" s="5" t="s">
        <v>79</v>
      </c>
      <c r="G37" s="5" t="s">
        <v>311</v>
      </c>
      <c r="H37" s="5" t="s">
        <v>312</v>
      </c>
      <c r="I37" s="5" t="s">
        <v>313</v>
      </c>
      <c r="J37" s="5" t="s">
        <v>45</v>
      </c>
      <c r="K37" s="5" t="s">
        <v>46</v>
      </c>
      <c r="L37" s="5" t="s">
        <v>47</v>
      </c>
      <c r="M37" s="5" t="s">
        <v>47</v>
      </c>
      <c r="N37" s="5" t="s">
        <v>47</v>
      </c>
      <c r="O37" s="5" t="s">
        <v>48</v>
      </c>
      <c r="P37" s="5" t="s">
        <v>314</v>
      </c>
      <c r="Q37" s="5" t="s">
        <v>50</v>
      </c>
      <c r="R37" s="7"/>
      <c r="S37" s="7"/>
    </row>
    <row r="38" customFormat="false" ht="60" hidden="false" customHeight="true" outlineLevel="0" collapsed="false">
      <c r="A38" s="5" t="s">
        <v>307</v>
      </c>
      <c r="B38" s="5" t="s">
        <v>315</v>
      </c>
      <c r="C38" s="5" t="s">
        <v>316</v>
      </c>
      <c r="D38" s="5" t="s">
        <v>47</v>
      </c>
      <c r="E38" s="5" t="s">
        <v>317</v>
      </c>
      <c r="F38" s="5" t="s">
        <v>79</v>
      </c>
      <c r="G38" s="5" t="s">
        <v>318</v>
      </c>
      <c r="H38" s="5" t="s">
        <v>319</v>
      </c>
      <c r="I38" s="5" t="s">
        <v>320</v>
      </c>
      <c r="J38" s="5" t="s">
        <v>321</v>
      </c>
      <c r="K38" s="5" t="s">
        <v>46</v>
      </c>
      <c r="L38" s="5" t="s">
        <v>47</v>
      </c>
      <c r="M38" s="5" t="s">
        <v>47</v>
      </c>
      <c r="N38" s="5" t="s">
        <v>47</v>
      </c>
      <c r="O38" s="5" t="s">
        <v>84</v>
      </c>
      <c r="P38" s="5" t="s">
        <v>322</v>
      </c>
      <c r="Q38" s="5" t="s">
        <v>50</v>
      </c>
      <c r="R38" s="7"/>
      <c r="S38" s="7"/>
    </row>
    <row r="39" customFormat="false" ht="60" hidden="false" customHeight="true" outlineLevel="0" collapsed="false">
      <c r="A39" s="5" t="s">
        <v>307</v>
      </c>
      <c r="B39" s="5" t="s">
        <v>323</v>
      </c>
      <c r="C39" s="5" t="s">
        <v>324</v>
      </c>
      <c r="D39" s="5" t="s">
        <v>47</v>
      </c>
      <c r="E39" s="5" t="s">
        <v>325</v>
      </c>
      <c r="F39" s="5" t="s">
        <v>79</v>
      </c>
      <c r="G39" s="5" t="s">
        <v>326</v>
      </c>
      <c r="H39" s="5" t="s">
        <v>327</v>
      </c>
      <c r="I39" s="5" t="s">
        <v>328</v>
      </c>
      <c r="J39" s="5" t="s">
        <v>329</v>
      </c>
      <c r="K39" s="5" t="s">
        <v>46</v>
      </c>
      <c r="L39" s="5" t="s">
        <v>47</v>
      </c>
      <c r="M39" s="5" t="s">
        <v>47</v>
      </c>
      <c r="N39" s="5" t="s">
        <v>47</v>
      </c>
      <c r="O39" s="5" t="s">
        <v>84</v>
      </c>
      <c r="P39" s="5" t="s">
        <v>330</v>
      </c>
      <c r="Q39" s="5" t="s">
        <v>50</v>
      </c>
      <c r="R39" s="7"/>
      <c r="S39" s="7"/>
    </row>
    <row r="40" customFormat="false" ht="60" hidden="false" customHeight="true" outlineLevel="0" collapsed="false">
      <c r="A40" s="5" t="s">
        <v>331</v>
      </c>
      <c r="B40" s="6" t="s">
        <v>332</v>
      </c>
      <c r="C40" s="5" t="s">
        <v>333</v>
      </c>
      <c r="D40" s="5" t="s">
        <v>39</v>
      </c>
      <c r="E40" s="5" t="s">
        <v>334</v>
      </c>
      <c r="F40" s="5" t="s">
        <v>41</v>
      </c>
      <c r="G40" s="5" t="s">
        <v>335</v>
      </c>
      <c r="H40" s="5" t="s">
        <v>336</v>
      </c>
      <c r="I40" s="5" t="s">
        <v>337</v>
      </c>
      <c r="J40" s="5" t="s">
        <v>338</v>
      </c>
      <c r="K40" s="5" t="s">
        <v>46</v>
      </c>
      <c r="L40" s="5" t="s">
        <v>47</v>
      </c>
      <c r="M40" s="5" t="s">
        <v>39</v>
      </c>
      <c r="N40" s="5" t="s">
        <v>39</v>
      </c>
      <c r="O40" s="5" t="s">
        <v>48</v>
      </c>
      <c r="P40" s="5" t="s">
        <v>339</v>
      </c>
      <c r="Q40" s="5" t="s">
        <v>152</v>
      </c>
      <c r="R40" s="7"/>
      <c r="S40" s="7"/>
    </row>
    <row r="41" customFormat="false" ht="60" hidden="false" customHeight="true" outlineLevel="0" collapsed="false">
      <c r="A41" s="5" t="s">
        <v>331</v>
      </c>
      <c r="B41" s="5" t="s">
        <v>340</v>
      </c>
      <c r="C41" s="5" t="s">
        <v>341</v>
      </c>
      <c r="D41" s="5" t="s">
        <v>47</v>
      </c>
      <c r="E41" s="5" t="s">
        <v>342</v>
      </c>
      <c r="F41" s="5" t="s">
        <v>79</v>
      </c>
      <c r="G41" s="5" t="s">
        <v>335</v>
      </c>
      <c r="H41" s="5" t="s">
        <v>343</v>
      </c>
      <c r="I41" s="5" t="s">
        <v>344</v>
      </c>
      <c r="J41" s="5" t="s">
        <v>345</v>
      </c>
      <c r="K41" s="5" t="s">
        <v>46</v>
      </c>
      <c r="L41" s="5" t="s">
        <v>47</v>
      </c>
      <c r="M41" s="5" t="s">
        <v>39</v>
      </c>
      <c r="N41" s="5" t="s">
        <v>47</v>
      </c>
      <c r="O41" s="5" t="s">
        <v>84</v>
      </c>
      <c r="P41" s="5" t="s">
        <v>346</v>
      </c>
      <c r="Q41" s="5" t="s">
        <v>50</v>
      </c>
      <c r="R41" s="7"/>
      <c r="S41" s="7"/>
    </row>
    <row r="42" customFormat="false" ht="60" hidden="false" customHeight="true" outlineLevel="0" collapsed="false">
      <c r="A42" s="5" t="s">
        <v>331</v>
      </c>
      <c r="B42" s="5" t="s">
        <v>347</v>
      </c>
      <c r="C42" s="5" t="s">
        <v>348</v>
      </c>
      <c r="D42" s="5" t="s">
        <v>47</v>
      </c>
      <c r="E42" s="5" t="s">
        <v>349</v>
      </c>
      <c r="F42" s="5" t="s">
        <v>41</v>
      </c>
      <c r="G42" s="5" t="s">
        <v>350</v>
      </c>
      <c r="H42" s="5" t="s">
        <v>351</v>
      </c>
      <c r="I42" s="5" t="s">
        <v>352</v>
      </c>
      <c r="J42" s="5" t="s">
        <v>338</v>
      </c>
      <c r="K42" s="5" t="s">
        <v>46</v>
      </c>
      <c r="L42" s="5" t="s">
        <v>47</v>
      </c>
      <c r="M42" s="5" t="s">
        <v>39</v>
      </c>
      <c r="N42" s="5" t="s">
        <v>47</v>
      </c>
      <c r="O42" s="5" t="s">
        <v>275</v>
      </c>
      <c r="P42" s="5" t="s">
        <v>353</v>
      </c>
      <c r="Q42" s="5" t="s">
        <v>277</v>
      </c>
      <c r="R42" s="7"/>
      <c r="S42" s="7"/>
    </row>
    <row r="43" customFormat="false" ht="60" hidden="false" customHeight="true" outlineLevel="0" collapsed="false">
      <c r="A43" s="5" t="s">
        <v>354</v>
      </c>
      <c r="B43" s="6" t="s">
        <v>354</v>
      </c>
      <c r="C43" s="5" t="s">
        <v>355</v>
      </c>
      <c r="D43" s="5" t="s">
        <v>39</v>
      </c>
      <c r="E43" s="5" t="s">
        <v>356</v>
      </c>
      <c r="F43" s="5" t="s">
        <v>41</v>
      </c>
      <c r="G43" s="5" t="s">
        <v>42</v>
      </c>
      <c r="H43" s="5" t="s">
        <v>357</v>
      </c>
      <c r="I43" s="5" t="s">
        <v>358</v>
      </c>
      <c r="J43" s="5" t="s">
        <v>45</v>
      </c>
      <c r="K43" s="5" t="s">
        <v>46</v>
      </c>
      <c r="L43" s="5" t="s">
        <v>47</v>
      </c>
      <c r="M43" s="5" t="s">
        <v>47</v>
      </c>
      <c r="N43" s="5" t="s">
        <v>47</v>
      </c>
      <c r="O43" s="5" t="s">
        <v>48</v>
      </c>
      <c r="P43" s="5" t="s">
        <v>359</v>
      </c>
      <c r="Q43" s="5" t="s">
        <v>50</v>
      </c>
      <c r="R43" s="7"/>
      <c r="S43" s="7"/>
    </row>
    <row r="44" customFormat="false" ht="60" hidden="false" customHeight="true" outlineLevel="0" collapsed="false">
      <c r="A44" s="5" t="s">
        <v>360</v>
      </c>
      <c r="B44" s="6" t="s">
        <v>361</v>
      </c>
      <c r="C44" s="5" t="s">
        <v>362</v>
      </c>
      <c r="D44" s="5" t="s">
        <v>39</v>
      </c>
      <c r="E44" s="5" t="s">
        <v>363</v>
      </c>
      <c r="F44" s="5" t="s">
        <v>41</v>
      </c>
      <c r="G44" s="5" t="s">
        <v>335</v>
      </c>
      <c r="H44" s="5" t="s">
        <v>364</v>
      </c>
      <c r="I44" s="5" t="s">
        <v>365</v>
      </c>
      <c r="J44" s="5" t="s">
        <v>366</v>
      </c>
      <c r="K44" s="5" t="s">
        <v>46</v>
      </c>
      <c r="L44" s="5" t="s">
        <v>47</v>
      </c>
      <c r="M44" s="5" t="s">
        <v>47</v>
      </c>
      <c r="N44" s="5" t="s">
        <v>47</v>
      </c>
      <c r="O44" s="5" t="s">
        <v>48</v>
      </c>
      <c r="P44" s="5" t="s">
        <v>367</v>
      </c>
      <c r="Q44" s="5" t="s">
        <v>50</v>
      </c>
      <c r="R44" s="7"/>
      <c r="S44" s="7"/>
    </row>
    <row r="45" customFormat="false" ht="60" hidden="false" customHeight="true" outlineLevel="0" collapsed="false">
      <c r="A45" s="5" t="s">
        <v>360</v>
      </c>
      <c r="B45" s="5" t="s">
        <v>368</v>
      </c>
      <c r="C45" s="5" t="s">
        <v>369</v>
      </c>
      <c r="D45" s="5" t="s">
        <v>47</v>
      </c>
      <c r="E45" s="5" t="s">
        <v>370</v>
      </c>
      <c r="F45" s="5" t="s">
        <v>41</v>
      </c>
      <c r="G45" s="5" t="s">
        <v>371</v>
      </c>
      <c r="H45" s="5" t="s">
        <v>372</v>
      </c>
      <c r="I45" s="5" t="s">
        <v>373</v>
      </c>
      <c r="J45" s="5" t="s">
        <v>374</v>
      </c>
      <c r="K45" s="5" t="s">
        <v>46</v>
      </c>
      <c r="L45" s="5" t="s">
        <v>47</v>
      </c>
      <c r="M45" s="5" t="s">
        <v>47</v>
      </c>
      <c r="N45" s="5" t="s">
        <v>47</v>
      </c>
      <c r="O45" s="5" t="s">
        <v>84</v>
      </c>
      <c r="P45" s="5" t="s">
        <v>375</v>
      </c>
      <c r="Q45" s="5" t="s">
        <v>50</v>
      </c>
      <c r="R45" s="7"/>
      <c r="S45" s="7"/>
    </row>
    <row r="46" customFormat="false" ht="60" hidden="false" customHeight="true" outlineLevel="0" collapsed="false">
      <c r="A46" s="5" t="s">
        <v>376</v>
      </c>
      <c r="B46" s="6" t="s">
        <v>377</v>
      </c>
      <c r="C46" s="5" t="s">
        <v>378</v>
      </c>
      <c r="D46" s="5" t="s">
        <v>39</v>
      </c>
      <c r="E46" s="5" t="s">
        <v>379</v>
      </c>
      <c r="F46" s="5" t="s">
        <v>41</v>
      </c>
      <c r="G46" s="5" t="s">
        <v>111</v>
      </c>
      <c r="H46" s="5" t="s">
        <v>380</v>
      </c>
      <c r="I46" s="5" t="s">
        <v>381</v>
      </c>
      <c r="J46" s="5" t="s">
        <v>246</v>
      </c>
      <c r="K46" s="5" t="s">
        <v>46</v>
      </c>
      <c r="L46" s="5" t="s">
        <v>47</v>
      </c>
      <c r="M46" s="5" t="s">
        <v>47</v>
      </c>
      <c r="N46" s="5" t="s">
        <v>39</v>
      </c>
      <c r="O46" s="5" t="s">
        <v>48</v>
      </c>
      <c r="P46" s="5" t="s">
        <v>382</v>
      </c>
      <c r="Q46" s="5" t="s">
        <v>152</v>
      </c>
      <c r="R46" s="7"/>
      <c r="S46" s="7"/>
    </row>
    <row r="47" customFormat="false" ht="60" hidden="false" customHeight="true" outlineLevel="0" collapsed="false">
      <c r="A47" s="5" t="s">
        <v>376</v>
      </c>
      <c r="B47" s="5" t="s">
        <v>383</v>
      </c>
      <c r="C47" s="5" t="s">
        <v>384</v>
      </c>
      <c r="D47" s="5" t="s">
        <v>47</v>
      </c>
      <c r="E47" s="5" t="s">
        <v>385</v>
      </c>
      <c r="F47" s="5" t="s">
        <v>41</v>
      </c>
      <c r="G47" s="5" t="s">
        <v>335</v>
      </c>
      <c r="H47" s="5" t="s">
        <v>386</v>
      </c>
      <c r="I47" s="5" t="s">
        <v>387</v>
      </c>
      <c r="J47" s="5" t="s">
        <v>246</v>
      </c>
      <c r="K47" s="5" t="s">
        <v>46</v>
      </c>
      <c r="L47" s="5" t="s">
        <v>47</v>
      </c>
      <c r="M47" s="5" t="s">
        <v>47</v>
      </c>
      <c r="N47" s="5" t="s">
        <v>39</v>
      </c>
      <c r="O47" s="5" t="s">
        <v>84</v>
      </c>
      <c r="P47" s="5" t="s">
        <v>388</v>
      </c>
      <c r="Q47" s="5" t="s">
        <v>50</v>
      </c>
      <c r="R47" s="7"/>
      <c r="S47" s="7"/>
    </row>
    <row r="48" customFormat="false" ht="60" hidden="false" customHeight="true" outlineLevel="0" collapsed="false">
      <c r="A48" s="5" t="s">
        <v>376</v>
      </c>
      <c r="B48" s="5" t="s">
        <v>389</v>
      </c>
      <c r="C48" s="5" t="s">
        <v>390</v>
      </c>
      <c r="D48" s="5" t="s">
        <v>47</v>
      </c>
      <c r="E48" s="5" t="s">
        <v>391</v>
      </c>
      <c r="F48" s="5" t="s">
        <v>79</v>
      </c>
      <c r="G48" s="5" t="s">
        <v>392</v>
      </c>
      <c r="H48" s="5" t="s">
        <v>393</v>
      </c>
      <c r="I48" s="5" t="s">
        <v>394</v>
      </c>
      <c r="J48" s="5" t="s">
        <v>246</v>
      </c>
      <c r="K48" s="5" t="s">
        <v>46</v>
      </c>
      <c r="L48" s="5" t="s">
        <v>47</v>
      </c>
      <c r="M48" s="5" t="s">
        <v>47</v>
      </c>
      <c r="N48" s="5" t="s">
        <v>39</v>
      </c>
      <c r="O48" s="5" t="s">
        <v>84</v>
      </c>
      <c r="P48" s="5" t="s">
        <v>395</v>
      </c>
      <c r="Q48" s="5" t="s">
        <v>50</v>
      </c>
      <c r="R48" s="7"/>
      <c r="S48" s="7"/>
    </row>
    <row r="49" customFormat="false" ht="60" hidden="false" customHeight="true" outlineLevel="0" collapsed="false">
      <c r="A49" s="5" t="s">
        <v>376</v>
      </c>
      <c r="B49" s="5" t="s">
        <v>396</v>
      </c>
      <c r="C49" s="5" t="s">
        <v>397</v>
      </c>
      <c r="D49" s="5" t="s">
        <v>47</v>
      </c>
      <c r="E49" s="5" t="s">
        <v>398</v>
      </c>
      <c r="F49" s="5" t="s">
        <v>41</v>
      </c>
      <c r="G49" s="5" t="s">
        <v>111</v>
      </c>
      <c r="H49" s="5" t="s">
        <v>399</v>
      </c>
      <c r="I49" s="5" t="s">
        <v>400</v>
      </c>
      <c r="J49" s="5" t="s">
        <v>246</v>
      </c>
      <c r="K49" s="5" t="s">
        <v>46</v>
      </c>
      <c r="L49" s="5" t="s">
        <v>47</v>
      </c>
      <c r="M49" s="5" t="s">
        <v>47</v>
      </c>
      <c r="N49" s="5" t="s">
        <v>39</v>
      </c>
      <c r="O49" s="5" t="s">
        <v>84</v>
      </c>
      <c r="P49" s="5" t="s">
        <v>401</v>
      </c>
      <c r="Q49" s="5" t="s">
        <v>50</v>
      </c>
      <c r="R49" s="7"/>
      <c r="S49" s="7"/>
    </row>
    <row r="50" customFormat="false" ht="60" hidden="false" customHeight="true" outlineLevel="0" collapsed="false">
      <c r="A50" s="5" t="s">
        <v>376</v>
      </c>
      <c r="B50" s="5" t="s">
        <v>402</v>
      </c>
      <c r="C50" s="5" t="s">
        <v>403</v>
      </c>
      <c r="D50" s="5" t="s">
        <v>47</v>
      </c>
      <c r="E50" s="5" t="s">
        <v>404</v>
      </c>
      <c r="F50" s="5" t="s">
        <v>41</v>
      </c>
      <c r="G50" s="5" t="s">
        <v>111</v>
      </c>
      <c r="H50" s="5" t="s">
        <v>405</v>
      </c>
      <c r="I50" s="5" t="s">
        <v>406</v>
      </c>
      <c r="J50" s="5" t="s">
        <v>246</v>
      </c>
      <c r="K50" s="5" t="s">
        <v>46</v>
      </c>
      <c r="L50" s="5" t="s">
        <v>47</v>
      </c>
      <c r="M50" s="5" t="s">
        <v>47</v>
      </c>
      <c r="N50" s="5" t="s">
        <v>39</v>
      </c>
      <c r="O50" s="5" t="s">
        <v>84</v>
      </c>
      <c r="P50" s="5" t="s">
        <v>407</v>
      </c>
      <c r="Q50" s="5" t="s">
        <v>50</v>
      </c>
      <c r="R50" s="7"/>
      <c r="S50" s="7"/>
    </row>
    <row r="51" customFormat="false" ht="60" hidden="false" customHeight="true" outlineLevel="0" collapsed="false">
      <c r="A51" s="5" t="s">
        <v>408</v>
      </c>
      <c r="B51" s="6" t="s">
        <v>409</v>
      </c>
      <c r="C51" s="5" t="s">
        <v>410</v>
      </c>
      <c r="D51" s="5" t="s">
        <v>39</v>
      </c>
      <c r="E51" s="5" t="s">
        <v>411</v>
      </c>
      <c r="F51" s="5" t="s">
        <v>41</v>
      </c>
      <c r="G51" s="5" t="s">
        <v>111</v>
      </c>
      <c r="H51" s="5" t="s">
        <v>412</v>
      </c>
      <c r="I51" s="5" t="s">
        <v>413</v>
      </c>
      <c r="J51" s="5" t="s">
        <v>246</v>
      </c>
      <c r="K51" s="5" t="s">
        <v>46</v>
      </c>
      <c r="L51" s="5" t="s">
        <v>47</v>
      </c>
      <c r="M51" s="5" t="s">
        <v>47</v>
      </c>
      <c r="N51" s="5" t="s">
        <v>47</v>
      </c>
      <c r="O51" s="5" t="s">
        <v>48</v>
      </c>
      <c r="P51" s="5" t="s">
        <v>414</v>
      </c>
      <c r="Q51" s="5" t="s">
        <v>50</v>
      </c>
      <c r="R51" s="7"/>
      <c r="S51" s="7"/>
    </row>
    <row r="52" customFormat="false" ht="60" hidden="false" customHeight="true" outlineLevel="0" collapsed="false">
      <c r="A52" s="5" t="s">
        <v>415</v>
      </c>
      <c r="B52" s="6" t="s">
        <v>416</v>
      </c>
      <c r="C52" s="5" t="s">
        <v>417</v>
      </c>
      <c r="D52" s="5" t="s">
        <v>39</v>
      </c>
      <c r="E52" s="5" t="s">
        <v>418</v>
      </c>
      <c r="F52" s="5" t="s">
        <v>41</v>
      </c>
      <c r="G52" s="5" t="s">
        <v>111</v>
      </c>
      <c r="H52" s="5" t="s">
        <v>419</v>
      </c>
      <c r="I52" s="5" t="s">
        <v>420</v>
      </c>
      <c r="J52" s="5" t="s">
        <v>246</v>
      </c>
      <c r="K52" s="5" t="s">
        <v>46</v>
      </c>
      <c r="L52" s="5" t="s">
        <v>47</v>
      </c>
      <c r="M52" s="5" t="s">
        <v>47</v>
      </c>
      <c r="N52" s="5" t="s">
        <v>47</v>
      </c>
      <c r="O52" s="5" t="s">
        <v>48</v>
      </c>
      <c r="P52" s="5" t="s">
        <v>421</v>
      </c>
      <c r="Q52" s="5" t="s">
        <v>50</v>
      </c>
      <c r="R52" s="7"/>
      <c r="S52" s="7"/>
    </row>
    <row r="53" customFormat="false" ht="60" hidden="false" customHeight="true" outlineLevel="0" collapsed="false">
      <c r="A53" s="5" t="s">
        <v>422</v>
      </c>
      <c r="B53" s="6" t="s">
        <v>422</v>
      </c>
      <c r="C53" s="5" t="s">
        <v>423</v>
      </c>
      <c r="D53" s="5" t="s">
        <v>39</v>
      </c>
      <c r="E53" s="5" t="s">
        <v>424</v>
      </c>
      <c r="F53" s="5" t="s">
        <v>41</v>
      </c>
      <c r="G53" s="5" t="s">
        <v>111</v>
      </c>
      <c r="H53" s="5" t="s">
        <v>425</v>
      </c>
      <c r="I53" s="5" t="s">
        <v>426</v>
      </c>
      <c r="J53" s="5" t="s">
        <v>427</v>
      </c>
      <c r="K53" s="5" t="s">
        <v>46</v>
      </c>
      <c r="L53" s="5" t="s">
        <v>39</v>
      </c>
      <c r="M53" s="5" t="s">
        <v>47</v>
      </c>
      <c r="N53" s="5" t="s">
        <v>47</v>
      </c>
      <c r="O53" s="5" t="s">
        <v>48</v>
      </c>
      <c r="P53" s="5" t="s">
        <v>428</v>
      </c>
      <c r="Q53" s="5" t="s">
        <v>50</v>
      </c>
      <c r="R53" s="7"/>
      <c r="S53" s="7"/>
    </row>
    <row r="54" customFormat="false" ht="60" hidden="false" customHeight="true" outlineLevel="0" collapsed="false">
      <c r="A54" s="5" t="s">
        <v>429</v>
      </c>
      <c r="B54" s="6" t="s">
        <v>430</v>
      </c>
      <c r="C54" s="5" t="s">
        <v>431</v>
      </c>
      <c r="D54" s="5" t="s">
        <v>39</v>
      </c>
      <c r="E54" s="5" t="s">
        <v>432</v>
      </c>
      <c r="F54" s="5" t="s">
        <v>41</v>
      </c>
      <c r="G54" s="5" t="s">
        <v>120</v>
      </c>
      <c r="H54" s="5" t="s">
        <v>433</v>
      </c>
      <c r="I54" s="5" t="s">
        <v>434</v>
      </c>
      <c r="J54" s="5" t="s">
        <v>435</v>
      </c>
      <c r="K54" s="5" t="s">
        <v>46</v>
      </c>
      <c r="L54" s="5" t="s">
        <v>47</v>
      </c>
      <c r="M54" s="5" t="s">
        <v>47</v>
      </c>
      <c r="N54" s="5" t="s">
        <v>47</v>
      </c>
      <c r="O54" s="5" t="s">
        <v>48</v>
      </c>
      <c r="P54" s="5" t="s">
        <v>436</v>
      </c>
      <c r="Q54" s="5" t="s">
        <v>50</v>
      </c>
      <c r="R54" s="7"/>
      <c r="S54" s="7"/>
    </row>
    <row r="55" customFormat="false" ht="60" hidden="false" customHeight="true" outlineLevel="0" collapsed="false">
      <c r="A55" s="5" t="s">
        <v>437</v>
      </c>
      <c r="B55" s="6" t="s">
        <v>437</v>
      </c>
      <c r="C55" s="5" t="s">
        <v>438</v>
      </c>
      <c r="D55" s="5" t="s">
        <v>39</v>
      </c>
      <c r="E55" s="5" t="s">
        <v>439</v>
      </c>
      <c r="F55" s="5" t="s">
        <v>270</v>
      </c>
      <c r="G55" s="5" t="s">
        <v>440</v>
      </c>
      <c r="H55" s="5" t="s">
        <v>441</v>
      </c>
      <c r="I55" s="5" t="s">
        <v>442</v>
      </c>
      <c r="J55" s="5" t="s">
        <v>443</v>
      </c>
      <c r="K55" s="5" t="s">
        <v>46</v>
      </c>
      <c r="L55" s="5" t="s">
        <v>47</v>
      </c>
      <c r="M55" s="5" t="s">
        <v>47</v>
      </c>
      <c r="N55" s="5" t="s">
        <v>47</v>
      </c>
      <c r="O55" s="5" t="s">
        <v>275</v>
      </c>
      <c r="P55" s="5" t="s">
        <v>444</v>
      </c>
      <c r="Q55" s="5" t="s">
        <v>277</v>
      </c>
      <c r="R55" s="7"/>
      <c r="S55" s="7"/>
    </row>
    <row r="56" customFormat="false" ht="60" hidden="false" customHeight="true" outlineLevel="0" collapsed="false">
      <c r="A56" s="5" t="s">
        <v>445</v>
      </c>
      <c r="B56" s="6" t="s">
        <v>446</v>
      </c>
      <c r="C56" s="5" t="s">
        <v>447</v>
      </c>
      <c r="D56" s="5" t="s">
        <v>39</v>
      </c>
      <c r="E56" s="5" t="s">
        <v>448</v>
      </c>
      <c r="F56" s="5" t="s">
        <v>79</v>
      </c>
      <c r="G56" s="5" t="s">
        <v>63</v>
      </c>
      <c r="H56" s="5" t="s">
        <v>64</v>
      </c>
      <c r="I56" s="5" t="s">
        <v>449</v>
      </c>
      <c r="J56" s="5" t="s">
        <v>193</v>
      </c>
      <c r="K56" s="5" t="s">
        <v>46</v>
      </c>
      <c r="L56" s="5" t="s">
        <v>39</v>
      </c>
      <c r="M56" s="5" t="s">
        <v>47</v>
      </c>
      <c r="N56" s="5" t="s">
        <v>47</v>
      </c>
      <c r="O56" s="5" t="s">
        <v>48</v>
      </c>
      <c r="P56" s="5" t="s">
        <v>450</v>
      </c>
      <c r="Q56" s="5" t="s">
        <v>50</v>
      </c>
      <c r="R56" s="7"/>
      <c r="S56" s="7"/>
    </row>
    <row r="57" customFormat="false" ht="60" hidden="false" customHeight="true" outlineLevel="0" collapsed="false">
      <c r="A57" s="5" t="s">
        <v>445</v>
      </c>
      <c r="B57" s="5" t="s">
        <v>451</v>
      </c>
      <c r="C57" s="5" t="s">
        <v>452</v>
      </c>
      <c r="D57" s="5" t="s">
        <v>47</v>
      </c>
      <c r="E57" s="5" t="s">
        <v>453</v>
      </c>
      <c r="F57" s="5" t="s">
        <v>41</v>
      </c>
      <c r="G57" s="5" t="s">
        <v>63</v>
      </c>
      <c r="H57" s="5" t="s">
        <v>64</v>
      </c>
      <c r="I57" s="5" t="s">
        <v>454</v>
      </c>
      <c r="J57" s="5" t="s">
        <v>193</v>
      </c>
      <c r="K57" s="5" t="s">
        <v>46</v>
      </c>
      <c r="L57" s="5" t="s">
        <v>39</v>
      </c>
      <c r="M57" s="5" t="s">
        <v>47</v>
      </c>
      <c r="N57" s="5" t="s">
        <v>47</v>
      </c>
      <c r="O57" s="5" t="s">
        <v>84</v>
      </c>
      <c r="P57" s="5" t="s">
        <v>455</v>
      </c>
      <c r="Q57" s="5" t="s">
        <v>50</v>
      </c>
      <c r="R57" s="7"/>
      <c r="S57" s="7"/>
    </row>
    <row r="58" customFormat="false" ht="60" hidden="false" customHeight="true" outlineLevel="0" collapsed="false">
      <c r="A58" s="5" t="s">
        <v>456</v>
      </c>
      <c r="B58" s="6" t="s">
        <v>456</v>
      </c>
      <c r="C58" s="5" t="s">
        <v>457</v>
      </c>
      <c r="D58" s="5" t="s">
        <v>39</v>
      </c>
      <c r="E58" s="5" t="s">
        <v>458</v>
      </c>
      <c r="F58" s="5" t="s">
        <v>41</v>
      </c>
      <c r="G58" s="5" t="s">
        <v>350</v>
      </c>
      <c r="H58" s="5" t="s">
        <v>459</v>
      </c>
      <c r="I58" s="5" t="s">
        <v>460</v>
      </c>
      <c r="J58" s="5" t="s">
        <v>461</v>
      </c>
      <c r="K58" s="5" t="s">
        <v>46</v>
      </c>
      <c r="L58" s="5" t="s">
        <v>47</v>
      </c>
      <c r="M58" s="5" t="s">
        <v>47</v>
      </c>
      <c r="N58" s="5" t="s">
        <v>47</v>
      </c>
      <c r="O58" s="5" t="s">
        <v>48</v>
      </c>
      <c r="P58" s="5" t="s">
        <v>462</v>
      </c>
      <c r="Q58" s="5" t="s">
        <v>50</v>
      </c>
      <c r="R58" s="7"/>
      <c r="S58" s="7"/>
    </row>
  </sheetData>
  <autoFilter ref="A1:S58"/>
  <conditionalFormatting sqref="A2:S58">
    <cfRule type="expression" priority="2" aboveAverage="0" equalAverage="0" bottom="0" percent="0" rank="0" text="" dxfId="5">
      <formula>$R2&lt;&gt;""</formula>
    </cfRule>
  </conditionalFormatting>
  <dataValidations count="1">
    <dataValidation allowBlank="true" error="Choisissez une valeur dans la liste : retenu, retenu_socle, ecarte, a_discuter" errorStyle="stop" errorTitle="Valeur non admise" operator="between" showDropDown="false" showErrorMessage="true" showInputMessage="false" sqref="R2:R58" type="list">
      <formula1>"retenu,retenu_socle,ecarte,a_discuter"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s>
  <sheetData>
    <row r="1" customFormat="false" ht="15" hidden="false" customHeight="false" outlineLevel="0" collapsed="false">
      <c r="A1" s="8" t="s">
        <v>463</v>
      </c>
      <c r="B1" s="9" t="s">
        <v>464</v>
      </c>
    </row>
    <row r="2" customFormat="false" ht="15" hidden="false" customHeight="false" outlineLevel="0" collapsed="false">
      <c r="A2" s="8" t="s">
        <v>465</v>
      </c>
      <c r="B2" s="9" t="n">
        <f aca="false">COUNTA(Validation!$B$2:$B$58)</f>
        <v>57</v>
      </c>
    </row>
    <row r="3" customFormat="false" ht="15" hidden="false" customHeight="false" outlineLevel="0" collapsed="false">
      <c r="A3" s="8" t="s">
        <v>466</v>
      </c>
      <c r="B3" s="9" t="n">
        <f aca="false">SUMPRODUCT((Validation!$A$2:$A$58&lt;&gt;"")/COUNTIF(Validation!$A$2:$A$58,Validation!$A$2:$A$58&amp;""))</f>
        <v>40</v>
      </c>
    </row>
    <row r="4" customFormat="false" ht="15" hidden="false" customHeight="false" outlineLevel="0" collapsed="false">
      <c r="A4" s="9"/>
      <c r="B4" s="9"/>
    </row>
    <row r="5" customFormat="false" ht="15" hidden="false" customHeight="false" outlineLevel="0" collapsed="false">
      <c r="A5" s="8" t="s">
        <v>467</v>
      </c>
      <c r="B5" s="9"/>
    </row>
    <row r="6" customFormat="false" ht="15" hidden="false" customHeight="false" outlineLevel="0" collapsed="false">
      <c r="A6" s="9" t="s">
        <v>468</v>
      </c>
      <c r="B6" s="9" t="n">
        <f aca="false">COUNTIF(Validation!$O$2:$O$58,"retenir")</f>
        <v>38</v>
      </c>
    </row>
    <row r="7" customFormat="false" ht="15" hidden="false" customHeight="false" outlineLevel="0" collapsed="false">
      <c r="A7" s="9" t="s">
        <v>469</v>
      </c>
      <c r="B7" s="9" t="n">
        <f aca="false">COUNTIF(Validation!$O$2:$O$58,"retenir_variante")</f>
        <v>16</v>
      </c>
    </row>
    <row r="8" customFormat="false" ht="15" hidden="false" customHeight="false" outlineLevel="0" collapsed="false">
      <c r="A8" s="9" t="s">
        <v>470</v>
      </c>
      <c r="B8" s="9" t="n">
        <f aca="false">COUNTIF(Validation!$O$2:$O$58,"ecarter")</f>
        <v>3</v>
      </c>
    </row>
    <row r="9" customFormat="false" ht="15" hidden="false" customHeight="false" outlineLevel="0" collapsed="false">
      <c r="A9" s="9"/>
      <c r="B9" s="9"/>
    </row>
    <row r="10" customFormat="false" ht="15" hidden="false" customHeight="false" outlineLevel="0" collapsed="false">
      <c r="A10" s="8" t="s">
        <v>471</v>
      </c>
      <c r="B10" s="9"/>
    </row>
    <row r="11" customFormat="false" ht="15" hidden="false" customHeight="false" outlineLevel="0" collapsed="false">
      <c r="A11" s="9" t="s">
        <v>472</v>
      </c>
      <c r="B11" s="9" t="n">
        <f aca="false">COUNTIF(Validation!$Q$2:$Q$58,"retenu_socle")</f>
        <v>4</v>
      </c>
    </row>
    <row r="12" customFormat="false" ht="15" hidden="false" customHeight="false" outlineLevel="0" collapsed="false">
      <c r="A12" s="9" t="s">
        <v>473</v>
      </c>
      <c r="B12" s="9" t="n">
        <f aca="false">COUNTIF(Validation!$Q$2:$Q$58,"retenu")</f>
        <v>50</v>
      </c>
    </row>
    <row r="13" customFormat="false" ht="15" hidden="false" customHeight="false" outlineLevel="0" collapsed="false">
      <c r="A13" s="9" t="s">
        <v>474</v>
      </c>
      <c r="B13" s="9" t="n">
        <f aca="false">COUNTIF(Validation!$Q$2:$Q$58,"ecarte")</f>
        <v>3</v>
      </c>
    </row>
    <row r="14" customFormat="false" ht="15" hidden="false" customHeight="false" outlineLevel="0" collapsed="false">
      <c r="A14" s="9" t="s">
        <v>475</v>
      </c>
      <c r="B14" s="9" t="n">
        <f aca="false">COUNTIF(Validation!$Q$2:$Q$58,"a_discuter")</f>
        <v>0</v>
      </c>
    </row>
    <row r="15" customFormat="false" ht="15" hidden="false" customHeight="false" outlineLevel="0" collapsed="false">
      <c r="A15" s="9"/>
      <c r="B15" s="9"/>
    </row>
    <row r="16" customFormat="false" ht="15" hidden="false" customHeight="false" outlineLevel="0" collapsed="false">
      <c r="A16" s="8" t="s">
        <v>476</v>
      </c>
      <c r="B16" s="9" t="n">
        <f aca="false">COUNTA(Validation!$R$2:$R$58)</f>
        <v>0</v>
      </c>
    </row>
    <row r="17" customFormat="false" ht="15" hidden="false" customHeight="false" outlineLevel="0" collapsed="false">
      <c r="A17" s="9" t="s">
        <v>477</v>
      </c>
      <c r="B17" s="9" t="n">
        <f aca="false">COUNTIF(Validation!$R$2:$R$58,"retenu_socle")</f>
        <v>0</v>
      </c>
    </row>
    <row r="18" customFormat="false" ht="15" hidden="false" customHeight="false" outlineLevel="0" collapsed="false">
      <c r="A18" s="9" t="s">
        <v>478</v>
      </c>
      <c r="B18" s="9" t="n">
        <f aca="false">COUNTIF(Validation!$R$2:$R$58,"retenu")</f>
        <v>0</v>
      </c>
    </row>
    <row r="19" customFormat="false" ht="15" hidden="false" customHeight="false" outlineLevel="0" collapsed="false">
      <c r="A19" s="9" t="s">
        <v>479</v>
      </c>
      <c r="B19" s="9" t="n">
        <f aca="false">COUNTIF(Validation!$R$2:$R$58,"ecarte")</f>
        <v>0</v>
      </c>
    </row>
    <row r="20" customFormat="false" ht="15" hidden="false" customHeight="false" outlineLevel="0" collapsed="false">
      <c r="A20" s="9" t="s">
        <v>480</v>
      </c>
      <c r="B20" s="9" t="n">
        <f aca="false">COUNTIF(Validation!$R$2:$R$58,"a_discuter")</f>
        <v>0</v>
      </c>
    </row>
    <row r="22" customFormat="false" ht="15" hidden="false" customHeight="false" outlineLevel="0" collapsed="false">
      <c r="A22" s="10" t="s">
        <v>481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2026-10-15T11:02:01Z</dcterms:created>
  <dc:creator>openpyxl</dc:creator>
  <dc:description/>
  <dc:language>en-US</dc:language>
  <cp:lastModifiedBy/>
  <dcterms:modified xsi:type="dcterms:W3CDTF">2026-10-15T11:02:01Z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