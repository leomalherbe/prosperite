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Validation" sheetId="2" state="visible" r:id="rId2"/>
    <sheet xmlns:r="http://schemas.openxmlformats.org/officeDocument/2006/relationships" name="Synthèse" sheetId="3" state="visible" r:id="rId3"/>
  </sheets>
  <definedNames>
    <definedName name="_xlnm._FilterDatabase" localSheetId="1" hidden="1">'Validation'!$A$1:$U$40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i val="1"/>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xf numFmtId="0" fontId="5" fillId="0" borderId="0" pivotButton="0" quotePrefix="0" xfId="0"/>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session mère</author>
  </authors>
  <commentList>
    <comment ref="T1" authorId="0" shapeId="0">
      <text>
        <t>À remplir seulement si vous divergez de la décision par défaut. Liste : retenu, retenu_socle, ecarte, a_discuter.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Gel 2 — validation des indicateurs de la dimension « Éducation et compétences »</t>
        </is>
      </c>
    </row>
    <row r="2">
      <c r="A2" s="2" t="inlineStr"/>
    </row>
    <row r="3">
      <c r="A3" s="3" t="inlineStr">
        <is>
          <t>Comment remplir ce classeur (validation par exception, charte §3.6, décision D20)</t>
        </is>
      </c>
    </row>
    <row r="4">
      <c r="A4" s="2" t="inlineStr">
        <is>
          <t>1. Ouvrez l'onglet « Validation ». Chaque ligne est un indicateur candidat (une fiche YAML dans le dépôt), regroupé par sous-thème puis par famille ; la variante principale de chaque famille est en tête.</t>
        </is>
      </c>
    </row>
    <row r="5">
      <c r="A5" s="2" t="inlineStr">
        <is>
          <t>2. Les colonnes grises sont informatives. La colonne « Recommandation de l'agent » et son motif résument l'analyse ; la colonne « Décision par défaut » indique ce qui s'appliquera si vous ne remplissez rien.</t>
        </is>
      </c>
    </row>
    <row r="6">
      <c r="A6" s="2" t="inlineStr">
        <is>
          <t xml:space="preserve">   « Socle proposé » = oui : l'agent propose de cocher l'indicateur par défaut (décision D41 : les incontournables et une fiche principale par sous-thème de la dimension, 8 au plus) ; sa décision par défaut est alors retenu_socle. L'onglet « Synthèse » compte le socle par sous-thème.</t>
        </is>
      </c>
    </row>
    <row r="7">
      <c r="A7" s="2" t="inlineStr">
        <is>
          <t>3. Ne remplissez la colonne jaune « Votre décision » que là où vous divergez ou hésitez. Valeurs possibles (liste déroulante) :</t>
        </is>
      </c>
    </row>
    <row r="8">
      <c r="A8" s="2" t="inlineStr">
        <is>
          <t xml:space="preserve">     retenu = disponible dans l'outil, non coché par défaut ;</t>
        </is>
      </c>
    </row>
    <row r="9">
      <c r="A9" s="2" t="inlineStr">
        <is>
          <t xml:space="preserve">     retenu_socle = disponible ET coché par défaut dans la configuration de référence ;</t>
        </is>
      </c>
    </row>
    <row r="10">
      <c r="A10" s="2" t="inlineStr">
        <is>
          <t xml:space="preserve">     ecarte = non retenu (indiquez pourquoi dans le commentaire) ;</t>
        </is>
      </c>
    </row>
    <row r="11">
      <c r="A11" s="2" t="inlineStr">
        <is>
          <t xml:space="preserve">     a_discuter = vous voulez en parler avant de trancher (la session mère vous posera la question).</t>
        </is>
      </c>
    </row>
    <row r="12">
      <c r="A12" s="2" t="inlineStr">
        <is>
          <t>4. Le commentaire est libre ; il est lu et conservé dans la fiche.</t>
        </is>
      </c>
    </row>
    <row r="13">
      <c r="A13" s="2" t="inlineStr">
        <is>
          <t>5. Enregistrez le fichier au même endroit, sous le même nom : la session mère le relit automatiquement.</t>
        </is>
      </c>
    </row>
    <row r="14">
      <c r="A14" s="2" t="inlineStr"/>
    </row>
    <row r="15">
      <c r="A15" s="3" t="inlineStr">
        <is>
          <t>Rappels</t>
        </is>
      </c>
    </row>
    <row r="16">
      <c r="A16" s="2" t="inlineStr">
        <is>
          <t>— Une famille regroupe des variantes d'un même concept (autre seuil, autre source, ventilation) : en général une seule variante est cochée par défaut.</t>
        </is>
      </c>
    </row>
    <row r="17">
      <c r="A17" s="2" t="inlineStr">
        <is>
          <t>— Le socle est une proposition : pour l'élargir, mettez retenu_socle sur d'autres lignes ; pour le réduire, mettez retenu sur une ligne proposée.</t>
        </is>
      </c>
    </row>
    <row r="18">
      <c r="A18" s="2" t="inlineStr">
        <is>
          <t>— « Incontournable » = présent dans au moins trois cadres de référence (Doughnut, Stiglitz-Sen-Fitoussi, OCDE, Eurostat, INSEE).</t>
        </is>
      </c>
    </row>
    <row r="19">
      <c r="A19" s="2" t="inlineStr">
        <is>
          <t>— « Déclaratif » = donnée d'enquête d'opinion ou de ressenti ; « Composite » = indice agrégé d'un producteur tiers (V-Dem, CPI…).</t>
        </is>
      </c>
    </row>
    <row r="20">
      <c r="A20" s="2" t="inlineStr">
        <is>
          <t>— Sens « ambigu » : l'agent n'a pas pu établir si plus haut est mieux ; ces lignes sont écartées par défaut.</t>
        </is>
      </c>
    </row>
    <row r="21">
      <c r="A21" s="2" t="inlineStr">
        <is>
          <t>— Les bornes (seuil minimal, objectif) ne sont pas traitées ici : elles viendront après le gel 2 (socle v1).</t>
        </is>
      </c>
    </row>
    <row r="22">
      <c r="A22" s="2" t="inlineStr"/>
    </row>
    <row r="23">
      <c r="A23" s="2" t="inlineStr">
        <is>
          <t>Exemple de ligne remplie : décision « ecarte », commentaire « doublon de la série INSEE équivalente ; garder la variante INSEE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8" customWidth="1" min="3" max="3"/>
    <col width="44" customWidth="1" min="4" max="4"/>
    <col width="11" customWidth="1" min="5" max="5"/>
    <col width="60" customWidth="1" min="6" max="6"/>
    <col width="8" customWidth="1" min="7" max="7"/>
    <col width="18" customWidth="1" min="8" max="8"/>
    <col width="36" customWidth="1" min="9" max="9"/>
    <col width="30" customWidth="1" min="10" max="10"/>
    <col width="22" customWidth="1" min="11" max="11"/>
    <col width="10" customWidth="1" min="12" max="12"/>
    <col width="10" customWidth="1" min="13" max="13"/>
    <col width="10" customWidth="1" min="14" max="14"/>
    <col width="13" customWidth="1" min="15" max="15"/>
    <col width="11" customWidth="1" min="16" max="16"/>
    <col width="16" customWidth="1" min="17" max="17"/>
    <col width="70" customWidth="1" min="18" max="18"/>
    <col width="18" customWidth="1" min="19" max="19"/>
    <col width="20" customWidth="1" min="20" max="20"/>
    <col width="40" customWidth="1" min="21" max="21"/>
  </cols>
  <sheetData>
    <row r="1" ht="42" customHeight="1">
      <c r="A1" s="4" t="inlineStr">
        <is>
          <t>Sous-thème</t>
        </is>
      </c>
      <c r="B1" s="4" t="inlineStr">
        <is>
          <t>Famille</t>
        </is>
      </c>
      <c r="C1" s="4" t="inlineStr">
        <is>
          <t>Identifiant</t>
        </is>
      </c>
      <c r="D1" s="4" t="inlineStr">
        <is>
          <t>Libellé</t>
        </is>
      </c>
      <c r="E1" s="4" t="inlineStr">
        <is>
          <t>Variante principale</t>
        </is>
      </c>
      <c r="F1" s="4" t="inlineStr">
        <is>
          <t>Définition courte</t>
        </is>
      </c>
      <c r="G1" s="4" t="inlineStr">
        <is>
          <t>Sens</t>
        </is>
      </c>
      <c r="H1" s="4" t="inlineStr">
        <is>
          <t>Unité</t>
        </is>
      </c>
      <c r="I1" s="4" t="inlineStr">
        <is>
          <t>Source</t>
        </is>
      </c>
      <c r="J1" s="4" t="inlineStr">
        <is>
          <t>Série (identifiant)</t>
        </is>
      </c>
      <c r="K1" s="4" t="inlineStr">
        <is>
          <t>Période</t>
        </is>
      </c>
      <c r="L1" s="4" t="inlineStr">
        <is>
          <t>Type</t>
        </is>
      </c>
      <c r="M1" s="4" t="inlineStr">
        <is>
          <t>Déclaratif</t>
        </is>
      </c>
      <c r="N1" s="4" t="inlineStr">
        <is>
          <t>Composite</t>
        </is>
      </c>
      <c r="O1" s="4" t="inlineStr">
        <is>
          <t>Incontournable</t>
        </is>
      </c>
      <c r="P1" s="4" t="inlineStr">
        <is>
          <t>Socle proposé</t>
        </is>
      </c>
      <c r="Q1" s="4" t="inlineStr">
        <is>
          <t>Recommandation de l'agent</t>
        </is>
      </c>
      <c r="R1" s="4" t="inlineStr">
        <is>
          <t>Motif de la recommandation</t>
        </is>
      </c>
      <c r="S1" s="4" t="inlineStr">
        <is>
          <t>Décision par défaut (si vous ne remplissez rien)</t>
        </is>
      </c>
      <c r="T1" s="4" t="inlineStr">
        <is>
          <t>Votre décision (liste déroulante)</t>
        </is>
      </c>
      <c r="U1" s="4" t="inlineStr">
        <is>
          <t>Votre commentaire</t>
        </is>
      </c>
    </row>
    <row r="2" ht="60" customHeight="1">
      <c r="A2" s="5" t="inlineStr">
        <is>
          <t>compétences des adultes</t>
        </is>
      </c>
      <c r="B2" s="5" t="inlineStr">
        <is>
          <t>langues_etrangeres</t>
        </is>
      </c>
      <c r="C2" s="6" t="inlineStr">
        <is>
          <t>adultes_sans_langue_etrangere</t>
        </is>
      </c>
      <c r="D2" s="5" t="inlineStr">
        <is>
          <t>Adultes de 25 à 64 ans ne connaissant aucune langue étrangère</t>
        </is>
      </c>
      <c r="E2" s="5" t="inlineStr">
        <is>
          <t>oui</t>
        </is>
      </c>
      <c r="F2" s="5" t="inlineStr">
        <is>
          <t>Part des personnes de 25 à 64 ans déclarant ne connaître aucune langue étrangère, d'après l'enquête européenne sur l'éducation des adultes (Eurostat edat_aes_l21).</t>
        </is>
      </c>
      <c r="G2" s="5" t="inlineStr">
        <is>
          <t>bas</t>
        </is>
      </c>
      <c r="H2" s="5" t="inlineStr">
        <is>
          <t>% des 25-64 ans</t>
        </is>
      </c>
      <c r="I2" s="5" t="inlineStr">
        <is>
          <t>Eurostat — edat_aes_l21 (enquête sur l'éducation des adultes), modalité 25-64 ans, aucune langue</t>
        </is>
      </c>
      <c r="J2" s="5" t="inlineStr">
        <is>
          <t>edat_aes_l21?freq=A&amp;age=Y18-24&amp;age=Y18-29&amp;age=Y18-64&amp;age=Y25-29&amp;age=Y25-64&amp;age=Y25-69&amp;age=Y30-54&amp;age=Y55-69&amp;n_lang=0&amp;unit=PC&amp;sex=T&amp;geo=FR</t>
        </is>
      </c>
      <c r="K2" s="5" t="inlineStr">
        <is>
          <t>2007-2022 (4 points, irreguliere)</t>
        </is>
      </c>
      <c r="L2" s="5" t="inlineStr">
        <is>
          <t>resultat</t>
        </is>
      </c>
      <c r="M2" s="5" t="inlineStr">
        <is>
          <t>non</t>
        </is>
      </c>
      <c r="N2" s="5" t="inlineStr">
        <is>
          <t>non</t>
        </is>
      </c>
      <c r="O2" s="5" t="inlineStr">
        <is>
          <t>non</t>
        </is>
      </c>
      <c r="P2" s="5" t="inlineStr">
        <is>
          <t>non</t>
        </is>
      </c>
      <c r="Q2" s="5" t="inlineStr">
        <is>
          <t>retenir</t>
        </is>
      </c>
      <c r="R2" s="5" t="inlineStr">
        <is>
          <t>Indicateur du cadre Eurostat Qualité de vie, enquête quinquennale admise par D17 (2007, 2011, 2016 et 2022 ; 41,2 % en 2007, 22,6 % en 2022).</t>
        </is>
      </c>
      <c r="S2" s="5" t="inlineStr">
        <is>
          <t>retenu</t>
        </is>
      </c>
      <c r="T2" s="7" t="inlineStr"/>
      <c r="U2" s="7" t="inlineStr"/>
    </row>
    <row r="3" ht="60" customHeight="1">
      <c r="A3" s="5" t="inlineStr">
        <is>
          <t>compétences des adultes</t>
        </is>
      </c>
      <c r="B3" s="5" t="inlineStr">
        <is>
          <t>langues_etrangeres</t>
        </is>
      </c>
      <c r="C3" s="5" t="inlineStr">
        <is>
          <t>maitrise_langue_etrangere</t>
        </is>
      </c>
      <c r="D3" s="5" t="inlineStr">
        <is>
          <t>Adultes maîtrisant très bien leur meilleure langue étrangère</t>
        </is>
      </c>
      <c r="E3" s="5" t="inlineStr">
        <is>
          <t>non</t>
        </is>
      </c>
      <c r="F3" s="5" t="inlineStr">
        <is>
          <t>Part des personnes de 25 à 64 ans qui déclarent un niveau « très bon » dans la langue étrangère qu'elles connaissent le mieux, parmi celles qui connaissent au moins une langue étrangère, d'après l'enquête européenne sur …</t>
        </is>
      </c>
      <c r="G3" s="5" t="inlineStr">
        <is>
          <t>haut</t>
        </is>
      </c>
      <c r="H3" s="5" t="inlineStr">
        <is>
          <t>% des 25-64 ans connaissant au moins une langue étrangère</t>
        </is>
      </c>
      <c r="I3" s="5" t="inlineStr">
        <is>
          <t>Eurostat — edat_aes_l31 (enquête sur l'éducation des adultes), modalité 25-64 ans, niveau « très bon »</t>
        </is>
      </c>
      <c r="J3" s="5" t="inlineStr">
        <is>
          <t>edat_aes_l31?freq=A&amp;age=Y18-24&amp;age=Y18-29&amp;age=Y18-64&amp;age=Y25-29&amp;age=Y25-64&amp;age=Y25-69&amp;age=Y30-54&amp;age=Y55-69&amp;unit=PC&amp;lev_know=PROF&amp;sex=T&amp;geo=FR</t>
        </is>
      </c>
      <c r="K3" s="5" t="inlineStr">
        <is>
          <t>2007-2022 (4 points, irreguliere)</t>
        </is>
      </c>
      <c r="L3" s="5" t="inlineStr">
        <is>
          <t>resultat</t>
        </is>
      </c>
      <c r="M3" s="5" t="inlineStr">
        <is>
          <t>non</t>
        </is>
      </c>
      <c r="N3" s="5" t="inlineStr">
        <is>
          <t>non</t>
        </is>
      </c>
      <c r="O3" s="5" t="inlineStr">
        <is>
          <t>non</t>
        </is>
      </c>
      <c r="P3" s="5" t="inlineStr">
        <is>
          <t>non</t>
        </is>
      </c>
      <c r="Q3" s="5" t="inlineStr">
        <is>
          <t>retenir_variante</t>
        </is>
      </c>
      <c r="R3" s="5" t="inlineStr">
        <is>
          <t>Autre statistique de la même enquête (cadre Eurostat Qualité de vie : niveau de la langue la mieux connue), 4 vagues (D17) : 8,7 % en 2007 (non comparable), 18,7 % en 2011, 19,9 % en 2016 et 24,5 % en 2022.</t>
        </is>
      </c>
      <c r="S3" s="5" t="inlineStr">
        <is>
          <t>retenu</t>
        </is>
      </c>
      <c r="T3" s="7" t="inlineStr"/>
      <c r="U3" s="7" t="inlineStr"/>
    </row>
    <row r="4" ht="60" customHeight="1">
      <c r="A4" s="5" t="inlineStr">
        <is>
          <t>compétences des adultes</t>
        </is>
      </c>
      <c r="B4" s="5" t="inlineStr">
        <is>
          <t>piaac_litteratie</t>
        </is>
      </c>
      <c r="C4" s="6" t="inlineStr">
        <is>
          <t>piaac_litteratie</t>
        </is>
      </c>
      <c r="D4" s="5" t="inlineStr">
        <is>
          <t>Compétences des adultes en littératie (score moyen PIAAC)</t>
        </is>
      </c>
      <c r="E4" s="5" t="inlineStr">
        <is>
          <t>oui</t>
        </is>
      </c>
      <c r="F4" s="5" t="inlineStr">
        <is>
          <t>Score moyen des adultes de 16 à 65 ans en littératie (compréhension et usage de textes écrits) dans l'enquête PIAAC de l'OCDE sur les compétences des adultes (How's Life, mesure 6_5).</t>
        </is>
      </c>
      <c r="G4" s="5" t="inlineStr">
        <is>
          <t>haut</t>
        </is>
      </c>
      <c r="H4" s="5" t="inlineStr">
        <is>
          <t>points</t>
        </is>
      </c>
      <c r="I4" s="5" t="inlineStr">
        <is>
          <t>OCDE (How's Life, d'après PIAAC) — How's Life? (bien-être actuel, DF_HSL_CWB)</t>
        </is>
      </c>
      <c r="J4" s="5" t="inlineStr">
        <is>
          <t>OECD.WISE.WDP,DSD_HSL@DF_HSL_CWB,1.1 MEASURE=6_5 UNIT_MEASURE=PO</t>
        </is>
      </c>
      <c r="K4" s="5" t="inlineStr">
        <is>
          <t>2012-2023 (2 points, irreguliere)</t>
        </is>
      </c>
      <c r="L4" s="5" t="inlineStr">
        <is>
          <t>resultat</t>
        </is>
      </c>
      <c r="M4" s="5" t="inlineStr">
        <is>
          <t>non</t>
        </is>
      </c>
      <c r="N4" s="5" t="inlineStr">
        <is>
          <t>non</t>
        </is>
      </c>
      <c r="O4" s="5" t="inlineStr">
        <is>
          <t>oui</t>
        </is>
      </c>
      <c r="P4" s="5" t="inlineStr">
        <is>
          <t>oui</t>
        </is>
      </c>
      <c r="Q4" s="5" t="inlineStr">
        <is>
          <t>retenir</t>
        </is>
      </c>
      <c r="R4" s="5" t="inlineStr">
        <is>
          <t>Compétences mesurées des adultes (incontournable, trois cadres, dont le score de littératie du cadre Eurostat Qualité de vie), deux cycles PIAAC admis par D17 et D28 (2012 et 2023 ; 255,4 points en 2023).</t>
        </is>
      </c>
      <c r="S4" s="5" t="inlineStr">
        <is>
          <t>retenu_socle</t>
        </is>
      </c>
      <c r="T4" s="7" t="inlineStr"/>
      <c r="U4" s="7" t="inlineStr"/>
    </row>
    <row r="5" ht="60" customHeight="1">
      <c r="A5" s="5" t="inlineStr">
        <is>
          <t>compétences des adultes</t>
        </is>
      </c>
      <c r="B5" s="5" t="inlineStr">
        <is>
          <t>piaac_numeratie</t>
        </is>
      </c>
      <c r="C5" s="6" t="inlineStr">
        <is>
          <t>piaac_numeratie</t>
        </is>
      </c>
      <c r="D5" s="5" t="inlineStr">
        <is>
          <t>Compétences des adultes en numératie (score moyen PIAAC)</t>
        </is>
      </c>
      <c r="E5" s="5" t="inlineStr">
        <is>
          <t>oui</t>
        </is>
      </c>
      <c r="F5" s="5" t="inlineStr">
        <is>
          <t>Score moyen des adultes de 16 à 65 ans en numératie (usage des nombres et des informations mathématiques) dans l'enquête PIAAC de l'OCDE sur les compétences des adultes (How's Life, mesure 6_4).</t>
        </is>
      </c>
      <c r="G5" s="5" t="inlineStr">
        <is>
          <t>haut</t>
        </is>
      </c>
      <c r="H5" s="5" t="inlineStr">
        <is>
          <t>points</t>
        </is>
      </c>
      <c r="I5" s="5" t="inlineStr">
        <is>
          <t>OCDE (How's Life, d'après PIAAC) — How's Life? (bien-être actuel, DF_HSL_CWB)</t>
        </is>
      </c>
      <c r="J5" s="5" t="inlineStr">
        <is>
          <t>OECD.WISE.WDP,DSD_HSL@DF_HSL_CWB,1.1 MEASURE=6_4 UNIT_MEASURE=PO</t>
        </is>
      </c>
      <c r="K5" s="5" t="inlineStr">
        <is>
          <t>2012-2023 (2 points, irreguliere)</t>
        </is>
      </c>
      <c r="L5" s="5" t="inlineStr">
        <is>
          <t>resultat</t>
        </is>
      </c>
      <c r="M5" s="5" t="inlineStr">
        <is>
          <t>non</t>
        </is>
      </c>
      <c r="N5" s="5" t="inlineStr">
        <is>
          <t>non</t>
        </is>
      </c>
      <c r="O5" s="5" t="inlineStr">
        <is>
          <t>oui</t>
        </is>
      </c>
      <c r="P5" s="5" t="inlineStr">
        <is>
          <t>non</t>
        </is>
      </c>
      <c r="Q5" s="5" t="inlineStr">
        <is>
          <t>retenir</t>
        </is>
      </c>
      <c r="R5" s="5" t="inlineStr">
        <is>
          <t>Compétences mesurées des adultes (incontournable, trois cadres), deux cycles PIAAC admis par D17 et D28 (2012 et 2023 ; 257,2 points en 2023).</t>
        </is>
      </c>
      <c r="S5" s="5" t="inlineStr">
        <is>
          <t>retenu</t>
        </is>
      </c>
      <c r="T5" s="7" t="inlineStr"/>
      <c r="U5" s="7" t="inlineStr"/>
    </row>
    <row r="6" ht="60" customHeight="1">
      <c r="A6" s="5" t="inlineStr">
        <is>
          <t>compétences des adultes</t>
        </is>
      </c>
      <c r="B6" s="5" t="inlineStr">
        <is>
          <t>piaac_numeratie</t>
        </is>
      </c>
      <c r="C6" s="5" t="inlineStr">
        <is>
          <t>adultes_faibles_competences_calcul</t>
        </is>
      </c>
      <c r="D6" s="5" t="inlineStr">
        <is>
          <t>Adultes ayant de faibles compétences en numératie (PIAAC)</t>
        </is>
      </c>
      <c r="E6" s="5" t="inlineStr">
        <is>
          <t>non</t>
        </is>
      </c>
      <c r="F6" s="5" t="inlineStr">
        <is>
          <t>Part des adultes de 16 à 65 ans dont le score PIAAC en numératie est au plus du niveau 1 (How's Life, mesure 6_4_DEP ; seuil à confirmer dans la documentation de l'OCDE).</t>
        </is>
      </c>
      <c r="G6" s="5" t="inlineStr">
        <is>
          <t>bas</t>
        </is>
      </c>
      <c r="H6" s="5" t="inlineStr">
        <is>
          <t>% des adultes</t>
        </is>
      </c>
      <c r="I6" s="5" t="inlineStr">
        <is>
          <t>OCDE (How's Life, d'après PIAAC) — How's Life? (bien-être actuel, DF_HSL_CWB)</t>
        </is>
      </c>
      <c r="J6" s="5" t="inlineStr">
        <is>
          <t>OECD.WISE.WDP,DSD_HSL@DF_HSL_CWB,1.1 MEASURE=6_4_DEP UNIT_MEASURE=PT_ST</t>
        </is>
      </c>
      <c r="K6" s="5" t="inlineStr">
        <is>
          <t>2012-2023 (2 points, irreguliere)</t>
        </is>
      </c>
      <c r="L6" s="5" t="inlineStr">
        <is>
          <t>resultat</t>
        </is>
      </c>
      <c r="M6" s="5" t="inlineStr">
        <is>
          <t>non</t>
        </is>
      </c>
      <c r="N6" s="5" t="inlineStr">
        <is>
          <t>non</t>
        </is>
      </c>
      <c r="O6" s="5" t="inlineStr">
        <is>
          <t>non</t>
        </is>
      </c>
      <c r="P6" s="5" t="inlineStr">
        <is>
          <t>non</t>
        </is>
      </c>
      <c r="Q6" s="5" t="inlineStr">
        <is>
          <t>retenir_variante</t>
        </is>
      </c>
      <c r="R6" s="5" t="inlineStr">
        <is>
          <t>Autre statistique de la même épreuve, centrée sur les adultes en difficulté, deux cycles PIAAC (2012 et 2023 ; 22,6 % en 2023, D17).</t>
        </is>
      </c>
      <c r="S6" s="5" t="inlineStr">
        <is>
          <t>retenu</t>
        </is>
      </c>
      <c r="T6" s="7" t="inlineStr"/>
      <c r="U6" s="7" t="inlineStr"/>
    </row>
    <row r="7" ht="60" customHeight="1">
      <c r="A7" s="5" t="inlineStr">
        <is>
          <t>compétences des élèves</t>
        </is>
      </c>
      <c r="B7" s="5" t="inlineStr">
        <is>
          <t>lecture_fin_primaire</t>
        </is>
      </c>
      <c r="C7" s="6" t="inlineStr">
        <is>
          <t>pirls_lecture_cm1</t>
        </is>
      </c>
      <c r="D7" s="5" t="inlineStr">
        <is>
          <t>Élèves de CM1 ayant au moins le niveau minimal en lecture (PIRLS)</t>
        </is>
      </c>
      <c r="E7" s="5" t="inlineStr">
        <is>
          <t>oui</t>
        </is>
      </c>
      <c r="F7" s="5" t="inlineStr">
        <is>
          <t>Part des élèves de CM1 qui atteignent au moins le seuil d'aptitude minimale en compréhension de l'écrit de l'enquête internationale PIRLS (indicateur national ODD 4.i1a de l'INSEE, France hors Mayotte).</t>
        </is>
      </c>
      <c r="G7" s="5" t="inlineStr">
        <is>
          <t>haut</t>
        </is>
      </c>
      <c r="H7" s="5" t="inlineStr">
        <is>
          <t>% des élèves de CM1</t>
        </is>
      </c>
      <c r="I7" s="5" t="inlineStr">
        <is>
          <t>INSEE (indicateurs ODD nationaux, d'après la DEPP) — Melodi DS_NAT_SDG, indicateur 4.i1a</t>
        </is>
      </c>
      <c r="J7" s="5" t="inlineStr">
        <is>
          <t>DS_NAT_SDG?AGE=_Z&amp;BASE_PER=_Z&amp;COMPOSITE_BREAKDOWN=_Z&amp;EMPSTA=_Z&amp;GEO=FRANCE-F_X_D976&amp;INDICATOR_SDG=4.i1a&amp;PCS=_Z&amp;SDG=SDG4&amp;SEX=_T&amp;TYPE_INDICATOR_SDG=I_SDG&amp;UNIT_MEASURE=PT</t>
        </is>
      </c>
      <c r="K7" s="5" t="inlineStr">
        <is>
          <t>2011-2021 (3 points, irreguliere)</t>
        </is>
      </c>
      <c r="L7" s="5" t="inlineStr">
        <is>
          <t>resultat</t>
        </is>
      </c>
      <c r="M7" s="5" t="inlineStr">
        <is>
          <t>non</t>
        </is>
      </c>
      <c r="N7" s="5" t="inlineStr">
        <is>
          <t>non</t>
        </is>
      </c>
      <c r="O7" s="5" t="inlineStr">
        <is>
          <t>non</t>
        </is>
      </c>
      <c r="P7" s="5" t="inlineStr">
        <is>
          <t>non</t>
        </is>
      </c>
      <c r="Q7" s="5" t="inlineStr">
        <is>
          <t>retenir</t>
        </is>
      </c>
      <c r="R7" s="5" t="inlineStr">
        <is>
          <t>Seule mesure cataloguée des compétences en lecture en fin d'école primaire comparable dans le temps et entre pays, indicateur national ODD (cycles 2011, 2016 et 2021, D17).</t>
        </is>
      </c>
      <c r="S7" s="5" t="inlineStr">
        <is>
          <t>retenu</t>
        </is>
      </c>
      <c r="T7" s="7" t="inlineStr"/>
      <c r="U7" s="7" t="inlineStr"/>
    </row>
    <row r="8" ht="60" customHeight="1">
      <c r="A8" s="5" t="inlineStr">
        <is>
          <t>compétences des élèves</t>
        </is>
      </c>
      <c r="B8" s="5" t="inlineStr">
        <is>
          <t>lecture_fin_primaire</t>
        </is>
      </c>
      <c r="C8" s="5" t="inlineStr">
        <is>
          <t>eleves_sixieme_bas_niveau_francais</t>
        </is>
      </c>
      <c r="D8" s="5" t="inlineStr">
        <is>
          <t>Élèves de sixième de bas niveau en français (évaluations nationales)</t>
        </is>
      </c>
      <c r="E8" s="5" t="inlineStr">
        <is>
          <t>non</t>
        </is>
      </c>
      <c r="F8" s="5" t="inlineStr">
        <is>
          <t>Part des élèves de sixième classés dans le groupe de bas niveau en français aux évaluations nationales de début d'année de la DEPP (indicateur territorial de développement durable, France entière).</t>
        </is>
      </c>
      <c r="G8" s="5" t="inlineStr">
        <is>
          <t>bas</t>
        </is>
      </c>
      <c r="H8" s="5" t="inlineStr">
        <is>
          <t>% des élèves de sixième</t>
        </is>
      </c>
      <c r="I8" s="5" t="inlineStr">
        <is>
          <t>SDES-INSEE (ITDD, d'après la DEPP) — Indicateurs territoriaux de développement durable (DiDo), variable bas_niveau_francais</t>
        </is>
      </c>
      <c r="J8" s="5" t="inlineStr">
        <is>
          <t>DiDo SDES rid 305ea0e3-269b-47ee-bab5-7553fec6f010 (variable bas_niveau_francais)</t>
        </is>
      </c>
      <c r="K8" s="5" t="inlineStr">
        <is>
          <t>2017-2024 (8 points, annuelle)</t>
        </is>
      </c>
      <c r="L8" s="5" t="inlineStr">
        <is>
          <t>resultat</t>
        </is>
      </c>
      <c r="M8" s="5" t="inlineStr">
        <is>
          <t>non</t>
        </is>
      </c>
      <c r="N8" s="5" t="inlineStr">
        <is>
          <t>non</t>
        </is>
      </c>
      <c r="O8" s="5" t="inlineStr">
        <is>
          <t>non</t>
        </is>
      </c>
      <c r="P8" s="5" t="inlineStr">
        <is>
          <t>non</t>
        </is>
      </c>
      <c r="Q8" s="5" t="inlineStr">
        <is>
          <t>retenir_variante</t>
        </is>
      </c>
      <c r="R8" s="5" t="inlineStr">
        <is>
          <t>Mesure annuelle (2017-2024, 8 points ; 26,9 % en 2024) des acquis en français à l'entrée au collège, plus récente et plus fréquente que PIRLS (CM1) mais encore sous le seuil de 10 points de la charte.</t>
        </is>
      </c>
      <c r="S8" s="5" t="inlineStr">
        <is>
          <t>retenu</t>
        </is>
      </c>
      <c r="T8" s="7" t="inlineStr"/>
      <c r="U8" s="7" t="inlineStr"/>
    </row>
    <row r="9" ht="60" customHeight="1">
      <c r="A9" s="5" t="inlineStr">
        <is>
          <t>compétences des élèves</t>
        </is>
      </c>
      <c r="B9" s="5" t="inlineStr">
        <is>
          <t>pisa_eleves_faibles_trois_domaines</t>
        </is>
      </c>
      <c r="C9" s="6" t="inlineStr">
        <is>
          <t>pisa_eleves_faibles_trois_domaines</t>
        </is>
      </c>
      <c r="D9" s="5" t="inlineStr">
        <is>
          <t>Élèves de 15 ans faibles à la fois en lecture, en mathématiques et en sciences (PISA)</t>
        </is>
      </c>
      <c r="E9" s="5" t="inlineStr">
        <is>
          <t>oui</t>
        </is>
      </c>
      <c r="F9" s="5" t="inlineStr">
        <is>
          <t>Part des élèves de 15 ans dont les scores PISA sont faibles dans les trois domaines évalués (compréhension de l'écrit, mathématiques, sciences), mesure de privation de l'OCDE (How's Life, 6_1_DEP ; seuil à confirmer …</t>
        </is>
      </c>
      <c r="G9" s="5" t="inlineStr">
        <is>
          <t>bas</t>
        </is>
      </c>
      <c r="H9" s="5" t="inlineStr">
        <is>
          <t>% des élèves de 15 ans</t>
        </is>
      </c>
      <c r="I9" s="5" t="inlineStr">
        <is>
          <t>OCDE (How's Life, d'après PISA) — How's Life? (bien-être actuel, DF_HSL_CWB)</t>
        </is>
      </c>
      <c r="J9" s="5" t="inlineStr">
        <is>
          <t>OECD.WISE.WDP,DSD_HSL@DF_HSL_CWB,1.1 MEASURE=6_1_DEP UNIT_MEASURE=PT_ST</t>
        </is>
      </c>
      <c r="K9" s="5" t="inlineStr">
        <is>
          <t>2018-2022 (2 points, irreguliere)</t>
        </is>
      </c>
      <c r="L9" s="5" t="inlineStr">
        <is>
          <t>resultat</t>
        </is>
      </c>
      <c r="M9" s="5" t="inlineStr">
        <is>
          <t>non</t>
        </is>
      </c>
      <c r="N9" s="5" t="inlineStr">
        <is>
          <t>non</t>
        </is>
      </c>
      <c r="O9" s="5" t="inlineStr">
        <is>
          <t>oui</t>
        </is>
      </c>
      <c r="P9" s="5" t="inlineStr">
        <is>
          <t>non</t>
        </is>
      </c>
      <c r="Q9" s="5" t="inlineStr">
        <is>
          <t>retenir</t>
        </is>
      </c>
      <c r="R9" s="5" t="inlineStr">
        <is>
          <t>Mesure de privation de l'OCDE qui cumule les difficultés dans les trois domaines PISA (incontournable, compétences mesurées), deux cycles admis par D17 et D28 (2018 et 2022 ; 16,8 % en 2022).</t>
        </is>
      </c>
      <c r="S9" s="5" t="inlineStr">
        <is>
          <t>retenu</t>
        </is>
      </c>
      <c r="T9" s="7" t="inlineStr"/>
      <c r="U9" s="7" t="inlineStr"/>
    </row>
    <row r="10" ht="60" customHeight="1">
      <c r="A10" s="5" t="inlineStr">
        <is>
          <t>compétences des élèves</t>
        </is>
      </c>
      <c r="B10" s="5" t="inlineStr">
        <is>
          <t>pisa_lecture</t>
        </is>
      </c>
      <c r="C10" s="6" t="inlineStr">
        <is>
          <t>pisa_eleves_difficulte_lecture</t>
        </is>
      </c>
      <c r="D10" s="5" t="inlineStr">
        <is>
          <t>Élèves de 15 ans en difficulté en compréhension de l'écrit (sous le niveau 2 de PISA)</t>
        </is>
      </c>
      <c r="E10" s="5" t="inlineStr">
        <is>
          <t>oui</t>
        </is>
      </c>
      <c r="F10" s="5" t="inlineStr">
        <is>
          <t>Part des élèves de 15 ans dont le score PISA en compréhension de l'écrit est inférieur au niveau 2 de compétence, seuil de maîtrise insuffisante retenu par l'Union européenne (Eurostat, indicateur ODD sdg_04_40, d'après …</t>
        </is>
      </c>
      <c r="G10" s="5" t="inlineStr">
        <is>
          <t>bas</t>
        </is>
      </c>
      <c r="H10" s="5" t="inlineStr">
        <is>
          <t>% des élèves de 15 ans</t>
        </is>
      </c>
      <c r="I10" s="5" t="inlineStr">
        <is>
          <t>Eurostat (d'après l'enquête PISA de l'OCDE) — sdg_04_40 (indicateur ODD 4), domaine READ</t>
        </is>
      </c>
      <c r="J10" s="5" t="inlineStr">
        <is>
          <t>sdg_04_40?freq=A&amp;field=READ&amp;sex=T&amp;unit=PC&amp;geo=FR</t>
        </is>
      </c>
      <c r="K10" s="5" t="inlineStr">
        <is>
          <t>2000-2025 (9 points, irreguliere)</t>
        </is>
      </c>
      <c r="L10" s="5" t="inlineStr">
        <is>
          <t>resultat</t>
        </is>
      </c>
      <c r="M10" s="5" t="inlineStr">
        <is>
          <t>non</t>
        </is>
      </c>
      <c r="N10" s="5" t="inlineStr">
        <is>
          <t>non</t>
        </is>
      </c>
      <c r="O10" s="5" t="inlineStr">
        <is>
          <t>oui</t>
        </is>
      </c>
      <c r="P10" s="5" t="inlineStr">
        <is>
          <t>oui</t>
        </is>
      </c>
      <c r="Q10" s="5" t="inlineStr">
        <is>
          <t>retenir</t>
        </is>
      </c>
      <c r="R10" s="5" t="inlineStr">
        <is>
          <t>Compétences mesurées des élèves (incontournable, trois cadres) avec une cible européenne de moins de 15 % en 2030, enquête triennale admise par D17 (9 cycles de 2000 à 2025 ; 26,9 % en 2022, 32,7 % en 2025).</t>
        </is>
      </c>
      <c r="S10" s="5" t="inlineStr">
        <is>
          <t>retenu_socle</t>
        </is>
      </c>
      <c r="T10" s="7" t="inlineStr"/>
      <c r="U10" s="7" t="inlineStr"/>
    </row>
    <row r="11" ht="60" customHeight="1">
      <c r="A11" s="5" t="inlineStr">
        <is>
          <t>compétences des élèves</t>
        </is>
      </c>
      <c r="B11" s="5" t="inlineStr">
        <is>
          <t>pisa_lecture</t>
        </is>
      </c>
      <c r="C11" s="5" t="inlineStr">
        <is>
          <t>difficultes_lecture_jdc</t>
        </is>
      </c>
      <c r="D11" s="5" t="inlineStr">
        <is>
          <t>Jeunes en difficulté de lecture à la journée défense et citoyenneté</t>
        </is>
      </c>
      <c r="E11" s="5" t="inlineStr">
        <is>
          <t>non</t>
        </is>
      </c>
      <c r="F11" s="5" t="inlineStr">
        <is>
          <t>Part des jeunes en difficulté de lecture aux tests passés lors de la journée défense et citoyenneté (DEPP), d'après l'indicateur territorial de développement durable (France entière ; champ des 16-25 ans selon l'ITDD, …</t>
        </is>
      </c>
      <c r="G11" s="5" t="inlineStr">
        <is>
          <t>bas</t>
        </is>
      </c>
      <c r="H11" s="5" t="inlineStr">
        <is>
          <t>% des jeunes testés</t>
        </is>
      </c>
      <c r="I11" s="5" t="inlineStr">
        <is>
          <t>SDES-INSEE (ITDD, d'après la DEPP) — Indicateurs territoriaux de développement durable (DiDo), variable tx_jeunes_diff_lecture</t>
        </is>
      </c>
      <c r="J11" s="5" t="inlineStr">
        <is>
          <t>DiDo SDES rid 305ea0e3-269b-47ee-bab5-7553fec6f010 (variable tx_jeunes_diff_lecture)</t>
        </is>
      </c>
      <c r="K11" s="5" t="inlineStr">
        <is>
          <t>2022-2024 (3 points, annuelle)</t>
        </is>
      </c>
      <c r="L11" s="5" t="inlineStr">
        <is>
          <t>resultat</t>
        </is>
      </c>
      <c r="M11" s="5" t="inlineStr">
        <is>
          <t>non</t>
        </is>
      </c>
      <c r="N11" s="5" t="inlineStr">
        <is>
          <t>non</t>
        </is>
      </c>
      <c r="O11" s="5" t="inlineStr">
        <is>
          <t>non</t>
        </is>
      </c>
      <c r="P11" s="5" t="inlineStr">
        <is>
          <t>non</t>
        </is>
      </c>
      <c r="Q11" s="5" t="inlineStr">
        <is>
          <t>retenir_variante</t>
        </is>
      </c>
      <c r="R11" s="5" t="inlineStr">
        <is>
          <t>Seule mesure annuelle de la maîtrise de la lecture des jeunes après 15 ans, proche de l'analphabétisme suivi par le Doughnut, mais limitée à 3 points au catalogue (2022-2024 ; 13,32 % en 2024), sous le seuil de 10 points de la charte.</t>
        </is>
      </c>
      <c r="S11" s="5" t="inlineStr">
        <is>
          <t>retenu</t>
        </is>
      </c>
      <c r="T11" s="7" t="inlineStr"/>
      <c r="U11" s="7" t="inlineStr"/>
    </row>
    <row r="12" ht="60" customHeight="1">
      <c r="A12" s="5" t="inlineStr">
        <is>
          <t>compétences des élèves</t>
        </is>
      </c>
      <c r="B12" s="5" t="inlineStr">
        <is>
          <t>pisa_lecture</t>
        </is>
      </c>
      <c r="C12" s="5" t="inlineStr">
        <is>
          <t>pisa_score_lecture</t>
        </is>
      </c>
      <c r="D12" s="5" t="inlineStr">
        <is>
          <t>Score moyen des élèves de 15 ans en compréhension de l'écrit (PISA)</t>
        </is>
      </c>
      <c r="E12" s="5" t="inlineStr">
        <is>
          <t>non</t>
        </is>
      </c>
      <c r="F12" s="5" t="inlineStr">
        <is>
          <t>Score moyen des élèves de 15 ans à l'épreuve de compréhension de l'écrit de l'enquête PISA de l'OCDE (How's Life, mesure 6_1).</t>
        </is>
      </c>
      <c r="G12" s="5" t="inlineStr">
        <is>
          <t>haut</t>
        </is>
      </c>
      <c r="H12" s="5" t="inlineStr">
        <is>
          <t>points</t>
        </is>
      </c>
      <c r="I12" s="5" t="inlineStr">
        <is>
          <t>OCDE (How's Life, d'après PISA) — How's Life? (bien-être actuel, DF_HSL_CWB)</t>
        </is>
      </c>
      <c r="J12" s="5" t="inlineStr">
        <is>
          <t>OECD.WISE.WDP,DSD_HSL@DF_HSL_CWB,1.1 MEASURE=6_1 UNIT_MEASURE=PO</t>
        </is>
      </c>
      <c r="K12" s="5" t="inlineStr">
        <is>
          <t>2006-2022 (6 points, irreguliere)</t>
        </is>
      </c>
      <c r="L12" s="5" t="inlineStr">
        <is>
          <t>resultat</t>
        </is>
      </c>
      <c r="M12" s="5" t="inlineStr">
        <is>
          <t>non</t>
        </is>
      </c>
      <c r="N12" s="5" t="inlineStr">
        <is>
          <t>non</t>
        </is>
      </c>
      <c r="O12" s="5" t="inlineStr">
        <is>
          <t>non</t>
        </is>
      </c>
      <c r="P12" s="5" t="inlineStr">
        <is>
          <t>non</t>
        </is>
      </c>
      <c r="Q12" s="5" t="inlineStr">
        <is>
          <t>retenir_variante</t>
        </is>
      </c>
      <c r="R12" s="5" t="inlineStr">
        <is>
          <t>Indicateur des compétences des élèves de l'OCDE (How's Life 6_1) et du cadre SSF, enquête triennale admise par D17 (6 cycles de 2006 à 2022 ; 473,85 points en 2022), autre lecture de la même épreuve que la part d'élèves en difficulté.</t>
        </is>
      </c>
      <c r="S12" s="5" t="inlineStr">
        <is>
          <t>retenu</t>
        </is>
      </c>
      <c r="T12" s="7" t="inlineStr"/>
      <c r="U12" s="7" t="inlineStr"/>
    </row>
    <row r="13" ht="60" customHeight="1">
      <c r="A13" s="5" t="inlineStr">
        <is>
          <t>compétences des élèves</t>
        </is>
      </c>
      <c r="B13" s="5" t="inlineStr">
        <is>
          <t>pisa_mathematiques</t>
        </is>
      </c>
      <c r="C13" s="6" t="inlineStr">
        <is>
          <t>pisa_eleves_difficulte_mathematiques</t>
        </is>
      </c>
      <c r="D13" s="5" t="inlineStr">
        <is>
          <t>Élèves de 15 ans en difficulté en mathématiques (sous le niveau 2 de PISA)</t>
        </is>
      </c>
      <c r="E13" s="5" t="inlineStr">
        <is>
          <t>oui</t>
        </is>
      </c>
      <c r="F13" s="5" t="inlineStr">
        <is>
          <t>Part des élèves de 15 ans dont le score PISA en mathématiques est inférieur au niveau 2 de compétence, seuil de maîtrise insuffisante retenu par l'Union européenne (Eurostat, indicateur ODD sdg_04_40, d'après l'OCDE).</t>
        </is>
      </c>
      <c r="G13" s="5" t="inlineStr">
        <is>
          <t>bas</t>
        </is>
      </c>
      <c r="H13" s="5" t="inlineStr">
        <is>
          <t>% des élèves de 15 ans</t>
        </is>
      </c>
      <c r="I13" s="5" t="inlineStr">
        <is>
          <t>Eurostat (d'après l'enquête PISA de l'OCDE) — sdg_04_40 (indicateur ODD 4), domaine EF461</t>
        </is>
      </c>
      <c r="J13" s="5" t="inlineStr">
        <is>
          <t>sdg_04_40?freq=A&amp;field=EF461&amp;sex=T&amp;unit=PC&amp;geo=FR</t>
        </is>
      </c>
      <c r="K13" s="5" t="inlineStr">
        <is>
          <t>2003-2025 (8 points, irreguliere)</t>
        </is>
      </c>
      <c r="L13" s="5" t="inlineStr">
        <is>
          <t>resultat</t>
        </is>
      </c>
      <c r="M13" s="5" t="inlineStr">
        <is>
          <t>non</t>
        </is>
      </c>
      <c r="N13" s="5" t="inlineStr">
        <is>
          <t>non</t>
        </is>
      </c>
      <c r="O13" s="5" t="inlineStr">
        <is>
          <t>oui</t>
        </is>
      </c>
      <c r="P13" s="5" t="inlineStr">
        <is>
          <t>oui</t>
        </is>
      </c>
      <c r="Q13" s="5" t="inlineStr">
        <is>
          <t>retenir</t>
        </is>
      </c>
      <c r="R13" s="5" t="inlineStr">
        <is>
          <t>Compétences mesurées des élèves (incontournable, trois cadres) avec une cible européenne de moins de 15 % en 2030, enquête triennale admise par D17 (8 cycles de 2003 à 2025 ; 28,8 % en 2022, 35,7 % en 2025).</t>
        </is>
      </c>
      <c r="S13" s="5" t="inlineStr">
        <is>
          <t>retenu_socle</t>
        </is>
      </c>
      <c r="T13" s="7" t="inlineStr"/>
      <c r="U13" s="7" t="inlineStr"/>
    </row>
    <row r="14" ht="60" customHeight="1">
      <c r="A14" s="5" t="inlineStr">
        <is>
          <t>compétences des élèves</t>
        </is>
      </c>
      <c r="B14" s="5" t="inlineStr">
        <is>
          <t>pisa_mathematiques</t>
        </is>
      </c>
      <c r="C14" s="5" t="inlineStr">
        <is>
          <t>eleves_sixieme_bas_niveau_mathematiques</t>
        </is>
      </c>
      <c r="D14" s="5" t="inlineStr">
        <is>
          <t>Élèves de sixième de bas niveau en mathématiques (évaluations nationales)</t>
        </is>
      </c>
      <c r="E14" s="5" t="inlineStr">
        <is>
          <t>non</t>
        </is>
      </c>
      <c r="F14" s="5" t="inlineStr">
        <is>
          <t>Part des élèves de sixième classés dans le groupe de bas niveau en mathématiques aux évaluations nationales de début d'année de la DEPP (indicateur territorial de développement durable, France entière).</t>
        </is>
      </c>
      <c r="G14" s="5" t="inlineStr">
        <is>
          <t>bas</t>
        </is>
      </c>
      <c r="H14" s="5" t="inlineStr">
        <is>
          <t>% des élèves de sixième</t>
        </is>
      </c>
      <c r="I14" s="5" t="inlineStr">
        <is>
          <t>SDES-INSEE (ITDD, d'après la DEPP) — Indicateurs territoriaux de développement durable (DiDo), variable bas_niveau_maths</t>
        </is>
      </c>
      <c r="J14" s="5" t="inlineStr">
        <is>
          <t>DiDo SDES rid 305ea0e3-269b-47ee-bab5-7553fec6f010 (variable bas_niveau_maths)</t>
        </is>
      </c>
      <c r="K14" s="5" t="inlineStr">
        <is>
          <t>2017-2024 (8 points, annuelle)</t>
        </is>
      </c>
      <c r="L14" s="5" t="inlineStr">
        <is>
          <t>resultat</t>
        </is>
      </c>
      <c r="M14" s="5" t="inlineStr">
        <is>
          <t>non</t>
        </is>
      </c>
      <c r="N14" s="5" t="inlineStr">
        <is>
          <t>non</t>
        </is>
      </c>
      <c r="O14" s="5" t="inlineStr">
        <is>
          <t>non</t>
        </is>
      </c>
      <c r="P14" s="5" t="inlineStr">
        <is>
          <t>non</t>
        </is>
      </c>
      <c r="Q14" s="5" t="inlineStr">
        <is>
          <t>retenir_variante</t>
        </is>
      </c>
      <c r="R14" s="5" t="inlineStr">
        <is>
          <t>Mesure annuelle (2017-2024, 8 points ; 32,2 % en 2024) des acquis en mathématiques à l'entrée au collège, variante de la famille des compétences en mathématiques dont la part d'élèves de 15 ans sous le niveau 2 de PISA est la principale (D44), sous le seuil de 10 points de la charte (D38 f).</t>
        </is>
      </c>
      <c r="S14" s="5" t="inlineStr">
        <is>
          <t>retenu</t>
        </is>
      </c>
      <c r="T14" s="7" t="inlineStr"/>
      <c r="U14" s="7" t="inlineStr"/>
    </row>
    <row r="15" ht="60" customHeight="1">
      <c r="A15" s="5" t="inlineStr">
        <is>
          <t>compétences des élèves</t>
        </is>
      </c>
      <c r="B15" s="5" t="inlineStr">
        <is>
          <t>pisa_mathematiques</t>
        </is>
      </c>
      <c r="C15" s="5" t="inlineStr">
        <is>
          <t>pisa_score_mathematiques</t>
        </is>
      </c>
      <c r="D15" s="5" t="inlineStr">
        <is>
          <t>Score moyen des élèves de 15 ans en mathématiques (PISA)</t>
        </is>
      </c>
      <c r="E15" s="5" t="inlineStr">
        <is>
          <t>non</t>
        </is>
      </c>
      <c r="F15" s="5" t="inlineStr">
        <is>
          <t>Score moyen des élèves de 15 ans à l'épreuve de mathématiques de l'enquête PISA de l'OCDE (How's Life, mesure 6_2).</t>
        </is>
      </c>
      <c r="G15" s="5" t="inlineStr">
        <is>
          <t>haut</t>
        </is>
      </c>
      <c r="H15" s="5" t="inlineStr">
        <is>
          <t>points</t>
        </is>
      </c>
      <c r="I15" s="5" t="inlineStr">
        <is>
          <t>OCDE (How's Life, d'après PISA) — How's Life? (bien-être actuel, DF_HSL_CWB)</t>
        </is>
      </c>
      <c r="J15" s="5" t="inlineStr">
        <is>
          <t>OECD.WISE.WDP,DSD_HSL@DF_HSL_CWB,1.1 MEASURE=6_2 UNIT_MEASURE=PO</t>
        </is>
      </c>
      <c r="K15" s="5" t="inlineStr">
        <is>
          <t>2006-2022 (6 points, irreguliere)</t>
        </is>
      </c>
      <c r="L15" s="5" t="inlineStr">
        <is>
          <t>resultat</t>
        </is>
      </c>
      <c r="M15" s="5" t="inlineStr">
        <is>
          <t>non</t>
        </is>
      </c>
      <c r="N15" s="5" t="inlineStr">
        <is>
          <t>non</t>
        </is>
      </c>
      <c r="O15" s="5" t="inlineStr">
        <is>
          <t>non</t>
        </is>
      </c>
      <c r="P15" s="5" t="inlineStr">
        <is>
          <t>non</t>
        </is>
      </c>
      <c r="Q15" s="5" t="inlineStr">
        <is>
          <t>retenir_variante</t>
        </is>
      </c>
      <c r="R15" s="5" t="inlineStr">
        <is>
          <t>Indicateur des compétences des élèves de l'OCDE (How's Life 6_2) et du cadre SSF, enquête triennale admise par D17 (6 cycles de 2006 à 2022 ; 473,94 points en 2022), autre lecture de la même épreuve que la part d'élèves en difficulté.</t>
        </is>
      </c>
      <c r="S15" s="5" t="inlineStr">
        <is>
          <t>retenu</t>
        </is>
      </c>
      <c r="T15" s="7" t="inlineStr"/>
      <c r="U15" s="7" t="inlineStr"/>
    </row>
    <row r="16" ht="60" customHeight="1">
      <c r="A16" s="5" t="inlineStr">
        <is>
          <t>compétences des élèves</t>
        </is>
      </c>
      <c r="B16" s="5" t="inlineStr">
        <is>
          <t>pisa_mathematiques</t>
        </is>
      </c>
      <c r="C16" s="5" t="inlineStr">
        <is>
          <t>timss_mathematiques_cm1</t>
        </is>
      </c>
      <c r="D16" s="5" t="inlineStr">
        <is>
          <t>Élèves de CM1 ayant au moins le niveau minimal en mathématiques (TIMSS)</t>
        </is>
      </c>
      <c r="E16" s="5" t="inlineStr">
        <is>
          <t>non</t>
        </is>
      </c>
      <c r="F16" s="5" t="inlineStr">
        <is>
          <t>Part des élèves de CM1 qui atteignent au moins le « seuil d'aptitude minimale » en mathématiques de l'indicateur national ODD 4.i1b de l'INSEE, d'après l'enquête internationale TIMSS (France hors Mayotte) ; seuil non …</t>
        </is>
      </c>
      <c r="G16" s="5" t="inlineStr">
        <is>
          <t>haut</t>
        </is>
      </c>
      <c r="H16" s="5" t="inlineStr">
        <is>
          <t>% des élèves de CM1</t>
        </is>
      </c>
      <c r="I16" s="5" t="inlineStr">
        <is>
          <t>INSEE (indicateurs ODD nationaux, d'après la DEPP) — Melodi DS_NAT_SDG, indicateur 4.i1b</t>
        </is>
      </c>
      <c r="J16" s="5" t="inlineStr">
        <is>
          <t>DS_NAT_SDG?AGE=_Z&amp;BASE_PER=_Z&amp;COMPOSITE_BREAKDOWN=_Z&amp;EMPSTA=_Z&amp;GEO=FRANCE-F_X_D976&amp;INDICATOR_SDG=4.i1b&amp;PCS=_Z&amp;SDG=SDG4&amp;SEX=_T&amp;TYPE_INDICATOR_SDG=I_SDG&amp;UNIT_MEASURE=PT</t>
        </is>
      </c>
      <c r="K16" s="5" t="inlineStr">
        <is>
          <t>2015-2023 (3 points, irreguliere)</t>
        </is>
      </c>
      <c r="L16" s="5" t="inlineStr">
        <is>
          <t>resultat</t>
        </is>
      </c>
      <c r="M16" s="5" t="inlineStr">
        <is>
          <t>non</t>
        </is>
      </c>
      <c r="N16" s="5" t="inlineStr">
        <is>
          <t>non</t>
        </is>
      </c>
      <c r="O16" s="5" t="inlineStr">
        <is>
          <t>non</t>
        </is>
      </c>
      <c r="P16" s="5" t="inlineStr">
        <is>
          <t>non</t>
        </is>
      </c>
      <c r="Q16" s="5" t="inlineStr">
        <is>
          <t>ecarter</t>
        </is>
      </c>
      <c r="R16" s="5" t="inlineStr">
        <is>
          <t>Écartée (D44) : le seuil de la série n'est pas documenté et sa valeur de 2023 (36 % contre 57 % en 2019) n'est pas comparable, la note d'information 24.47 de la DEPP constatant des scores stables (485 en 2019, 484 en 2023) et 15 % seulement d'élèves sous le seuil bas de l'IEA.</t>
        </is>
      </c>
      <c r="S16" s="5" t="inlineStr">
        <is>
          <t>ecarte</t>
        </is>
      </c>
      <c r="T16" s="7" t="inlineStr"/>
      <c r="U16" s="7" t="inlineStr"/>
    </row>
    <row r="17" ht="60" customHeight="1">
      <c r="A17" s="5" t="inlineStr">
        <is>
          <t>compétences des élèves</t>
        </is>
      </c>
      <c r="B17" s="5" t="inlineStr">
        <is>
          <t>pisa_sciences</t>
        </is>
      </c>
      <c r="C17" s="6" t="inlineStr">
        <is>
          <t>pisa_eleves_difficulte_sciences</t>
        </is>
      </c>
      <c r="D17" s="5" t="inlineStr">
        <is>
          <t>Élèves de 15 ans en difficulté en sciences (sous le niveau 2 de PISA)</t>
        </is>
      </c>
      <c r="E17" s="5" t="inlineStr">
        <is>
          <t>oui</t>
        </is>
      </c>
      <c r="F17" s="5" t="inlineStr">
        <is>
          <t>Part des élèves de 15 ans dont le score PISA en sciences est inférieur au niveau 2 de compétence, seuil de maîtrise insuffisante retenu par l'Union européenne (Eurostat, indicateur ODD sdg_04_40, d'après l'OCDE).</t>
        </is>
      </c>
      <c r="G17" s="5" t="inlineStr">
        <is>
          <t>bas</t>
        </is>
      </c>
      <c r="H17" s="5" t="inlineStr">
        <is>
          <t>% des élèves de 15 ans</t>
        </is>
      </c>
      <c r="I17" s="5" t="inlineStr">
        <is>
          <t>Eurostat (d'après l'enquête PISA de l'OCDE) — sdg_04_40 (indicateur ODD 4), domaine SCI</t>
        </is>
      </c>
      <c r="J17" s="5" t="inlineStr">
        <is>
          <t>sdg_04_40?freq=A&amp;field=SCI&amp;sex=T&amp;unit=PC&amp;geo=FR</t>
        </is>
      </c>
      <c r="K17" s="5" t="inlineStr">
        <is>
          <t>2006-2025 (7 points, irreguliere)</t>
        </is>
      </c>
      <c r="L17" s="5" t="inlineStr">
        <is>
          <t>resultat</t>
        </is>
      </c>
      <c r="M17" s="5" t="inlineStr">
        <is>
          <t>non</t>
        </is>
      </c>
      <c r="N17" s="5" t="inlineStr">
        <is>
          <t>non</t>
        </is>
      </c>
      <c r="O17" s="5" t="inlineStr">
        <is>
          <t>oui</t>
        </is>
      </c>
      <c r="P17" s="5" t="inlineStr">
        <is>
          <t>non</t>
        </is>
      </c>
      <c r="Q17" s="5" t="inlineStr">
        <is>
          <t>retenir</t>
        </is>
      </c>
      <c r="R17" s="5" t="inlineStr">
        <is>
          <t>Compétences mesurées des élèves (incontournable, trois cadres) avec une cible européenne de moins de 15 % en 2030, enquête triennale admise par D17 (7 cycles de 2006 à 2025 ; 23,8 % en 2022, 25,8 % en 2025).</t>
        </is>
      </c>
      <c r="S17" s="5" t="inlineStr">
        <is>
          <t>retenu</t>
        </is>
      </c>
      <c r="T17" s="7" t="inlineStr"/>
      <c r="U17" s="7" t="inlineStr"/>
    </row>
    <row r="18" ht="60" customHeight="1">
      <c r="A18" s="5" t="inlineStr">
        <is>
          <t>compétences des élèves</t>
        </is>
      </c>
      <c r="B18" s="5" t="inlineStr">
        <is>
          <t>pisa_sciences</t>
        </is>
      </c>
      <c r="C18" s="5" t="inlineStr">
        <is>
          <t>pisa_score_sciences</t>
        </is>
      </c>
      <c r="D18" s="5" t="inlineStr">
        <is>
          <t>Score moyen des élèves de 15 ans en sciences (PISA)</t>
        </is>
      </c>
      <c r="E18" s="5" t="inlineStr">
        <is>
          <t>non</t>
        </is>
      </c>
      <c r="F18" s="5" t="inlineStr">
        <is>
          <t>Score moyen des élèves de 15 ans à l'épreuve de sciences de l'enquête PISA de l'OCDE (How's Life, mesure 6_3).</t>
        </is>
      </c>
      <c r="G18" s="5" t="inlineStr">
        <is>
          <t>haut</t>
        </is>
      </c>
      <c r="H18" s="5" t="inlineStr">
        <is>
          <t>points</t>
        </is>
      </c>
      <c r="I18" s="5" t="inlineStr">
        <is>
          <t>OCDE (How's Life, d'après PISA) — How's Life? (bien-être actuel, DF_HSL_CWB)</t>
        </is>
      </c>
      <c r="J18" s="5" t="inlineStr">
        <is>
          <t>OECD.WISE.WDP,DSD_HSL@DF_HSL_CWB,1.1 MEASURE=6_3 UNIT_MEASURE=PO</t>
        </is>
      </c>
      <c r="K18" s="5" t="inlineStr">
        <is>
          <t>2006-2022 (6 points, irreguliere)</t>
        </is>
      </c>
      <c r="L18" s="5" t="inlineStr">
        <is>
          <t>resultat</t>
        </is>
      </c>
      <c r="M18" s="5" t="inlineStr">
        <is>
          <t>non</t>
        </is>
      </c>
      <c r="N18" s="5" t="inlineStr">
        <is>
          <t>non</t>
        </is>
      </c>
      <c r="O18" s="5" t="inlineStr">
        <is>
          <t>non</t>
        </is>
      </c>
      <c r="P18" s="5" t="inlineStr">
        <is>
          <t>non</t>
        </is>
      </c>
      <c r="Q18" s="5" t="inlineStr">
        <is>
          <t>retenir_variante</t>
        </is>
      </c>
      <c r="R18" s="5" t="inlineStr">
        <is>
          <t>Indicateur des compétences des élèves de l'OCDE (How's Life 6_3) et du cadre SSF, enquête triennale admise par D17 (6 cycles de 2006 à 2022 ; 487,23 points en 2022), autre lecture de la même épreuve que la part d'élèves en difficulté.</t>
        </is>
      </c>
      <c r="S18" s="5" t="inlineStr">
        <is>
          <t>retenu</t>
        </is>
      </c>
      <c r="T18" s="7" t="inlineStr"/>
      <c r="U18" s="7" t="inlineStr"/>
    </row>
    <row r="19" ht="60" customHeight="1">
      <c r="A19" s="5" t="inlineStr">
        <is>
          <t>compétences numériques</t>
        </is>
      </c>
      <c r="B19" s="5" t="inlineStr">
        <is>
          <t>competences_numeriques</t>
        </is>
      </c>
      <c r="C19" s="6" t="inlineStr">
        <is>
          <t>competences_numeriques_base</t>
        </is>
      </c>
      <c r="D19" s="5" t="inlineStr">
        <is>
          <t>Personnes de 16 à 74 ans ayant au moins des compétences numériques de base</t>
        </is>
      </c>
      <c r="E19" s="5" t="inlineStr">
        <is>
          <t>oui</t>
        </is>
      </c>
      <c r="F19" s="5" t="inlineStr">
        <is>
          <t>Part des personnes de 16 à 74 ans dont les compétences numériques générales sont de base ou plus avancées, d'après l'indicateur européen de compétences numériques calculé sur l'enquête TIC auprès des ménages (INSEE, …</t>
        </is>
      </c>
      <c r="G19" s="5" t="inlineStr">
        <is>
          <t>haut</t>
        </is>
      </c>
      <c r="H19" s="5" t="inlineStr">
        <is>
          <t>% des 16-74 ans</t>
        </is>
      </c>
      <c r="I19" s="5" t="inlineStr">
        <is>
          <t>INSEE (indicateurs ODD nationaux) — BDM, ODD 4.i3 (enquête TIC auprès des ménages)</t>
        </is>
      </c>
      <c r="J19" s="5" t="inlineStr">
        <is>
          <t>010594832</t>
        </is>
      </c>
      <c r="K19" s="5" t="inlineStr">
        <is>
          <t>2015-2025 (7 points, irreguliere)</t>
        </is>
      </c>
      <c r="L19" s="5" t="inlineStr">
        <is>
          <t>resultat</t>
        </is>
      </c>
      <c r="M19" s="5" t="inlineStr">
        <is>
          <t>non</t>
        </is>
      </c>
      <c r="N19" s="5" t="inlineStr">
        <is>
          <t>non</t>
        </is>
      </c>
      <c r="O19" s="5" t="inlineStr">
        <is>
          <t>non</t>
        </is>
      </c>
      <c r="P19" s="5" t="inlineStr">
        <is>
          <t>oui</t>
        </is>
      </c>
      <c r="Q19" s="5" t="inlineStr">
        <is>
          <t>retenir</t>
        </is>
      </c>
      <c r="R19" s="5" t="inlineStr">
        <is>
          <t>Indicateur du cadre Eurostat Qualité de vie et de l'objectif européen d'au moins 80 % des 16-74 ans en 2030, 7 vagues de 2015 à 2025 (D17 ; 57 % en 2015, 66 % en 2025), somme recoupée avec les trois valeurs publiées par Eurostat.</t>
        </is>
      </c>
      <c r="S19" s="5" t="inlineStr">
        <is>
          <t>retenu_socle</t>
        </is>
      </c>
      <c r="T19" s="7" t="inlineStr"/>
      <c r="U19" s="7" t="inlineStr"/>
    </row>
    <row r="20" ht="60" customHeight="1">
      <c r="A20" s="5" t="inlineStr">
        <is>
          <t>compétences numériques</t>
        </is>
      </c>
      <c r="B20" s="5" t="inlineStr">
        <is>
          <t>eleves_faibles_competences_numeriques</t>
        </is>
      </c>
      <c r="C20" s="6" t="inlineStr">
        <is>
          <t>eleves_faibles_competences_numeriques</t>
        </is>
      </c>
      <c r="D20" s="5" t="inlineStr">
        <is>
          <t>Élèves de quatrième ayant de faibles compétences numériques (ICILS)</t>
        </is>
      </c>
      <c r="E20" s="5" t="inlineStr">
        <is>
          <t>oui</t>
        </is>
      </c>
      <c r="F20" s="5" t="inlineStr">
        <is>
          <t>Part des élèves en huitième année de scolarité (quatrième) sous le seuil de maîtrise de l'enquête internationale ICILS sur la littératie informatique, reprise par la DEPP pour le suivi des objectifs européens …</t>
        </is>
      </c>
      <c r="G20" s="5" t="inlineStr">
        <is>
          <t>bas</t>
        </is>
      </c>
      <c r="H20" s="5" t="inlineStr">
        <is>
          <t>% des élèves de quatrième</t>
        </is>
      </c>
      <c r="I20" s="5" t="inlineStr">
        <is>
          <t>DEPP (d'après l'enquête ICILS de l'IEA) — fr-en-objectifs_europeens_education_formation (data.education.gouv.fr), variable icils_numerique</t>
        </is>
      </c>
      <c r="J20" s="5" t="inlineStr">
        <is>
          <t>https://data.education.gouv.fr/api/explore/v2.1/catalog/datasets/fr-en-objectifs_europeens_education_formation (France.Ensemble#icils_numerique)</t>
        </is>
      </c>
      <c r="K20" s="5" t="inlineStr">
        <is>
          <t>2018-2023 (2 points, irreguliere)</t>
        </is>
      </c>
      <c r="L20" s="5" t="inlineStr">
        <is>
          <t>resultat</t>
        </is>
      </c>
      <c r="M20" s="5" t="inlineStr">
        <is>
          <t>non</t>
        </is>
      </c>
      <c r="N20" s="5" t="inlineStr">
        <is>
          <t>non</t>
        </is>
      </c>
      <c r="O20" s="5" t="inlineStr">
        <is>
          <t>non</t>
        </is>
      </c>
      <c r="P20" s="5" t="inlineStr">
        <is>
          <t>non</t>
        </is>
      </c>
      <c r="Q20" s="5" t="inlineStr">
        <is>
          <t>retenir</t>
        </is>
      </c>
      <c r="R20" s="5" t="inlineStr">
        <is>
          <t>Seule mesure des compétences numériques des élèves, assortie d'une cible européenne de moins de 15 % en 2030, enquête quinquennale admise par D17 et D28 (2018 et 2023 ; 42,7 % en 2023).</t>
        </is>
      </c>
      <c r="S20" s="5" t="inlineStr">
        <is>
          <t>retenu</t>
        </is>
      </c>
      <c r="T20" s="7" t="inlineStr"/>
      <c r="U20" s="7" t="inlineStr"/>
    </row>
    <row r="21" ht="60" customHeight="1">
      <c r="A21" s="5" t="inlineStr">
        <is>
          <t>compétences numériques</t>
        </is>
      </c>
      <c r="B21" s="5" t="inlineStr">
        <is>
          <t>illectronisme</t>
        </is>
      </c>
      <c r="C21" s="6" t="inlineStr">
        <is>
          <t>illectronisme</t>
        </is>
      </c>
      <c r="D21" s="5" t="inlineStr">
        <is>
          <t>Illectronisme : personnes sans usage d'internet ou sans aucune compétence numérique</t>
        </is>
      </c>
      <c r="E21" s="5" t="inlineStr">
        <is>
          <t>oui</t>
        </is>
      </c>
      <c r="F21" s="5" t="inlineStr">
        <is>
          <t>Part des personnes de 16 à 74 ans n'ayant pas utilisé internet au cours des trois derniers mois ou n'ayant aucune compétence numérique, d'après l'enquête TIC auprès des ménages (INSEE, indicateur national ODD 4.i3).</t>
        </is>
      </c>
      <c r="G21" s="5" t="inlineStr">
        <is>
          <t>bas</t>
        </is>
      </c>
      <c r="H21" s="5" t="inlineStr">
        <is>
          <t>% des 16-74 ans</t>
        </is>
      </c>
      <c r="I21" s="5" t="inlineStr">
        <is>
          <t>INSEE (indicateurs ODD nationaux) — BDM, ODD 4.i3 (enquête TIC auprès des ménages)</t>
        </is>
      </c>
      <c r="J21" s="5" t="inlineStr">
        <is>
          <t>010594834</t>
        </is>
      </c>
      <c r="K21" s="5" t="inlineStr">
        <is>
          <t>2015-2025 (7 points, irreguliere)</t>
        </is>
      </c>
      <c r="L21" s="5" t="inlineStr">
        <is>
          <t>resultat</t>
        </is>
      </c>
      <c r="M21" s="5" t="inlineStr">
        <is>
          <t>non</t>
        </is>
      </c>
      <c r="N21" s="5" t="inlineStr">
        <is>
          <t>non</t>
        </is>
      </c>
      <c r="O21" s="5" t="inlineStr">
        <is>
          <t>non</t>
        </is>
      </c>
      <c r="P21" s="5" t="inlineStr">
        <is>
          <t>non</t>
        </is>
      </c>
      <c r="Q21" s="5" t="inlineStr">
        <is>
          <t>retenir</t>
        </is>
      </c>
      <c r="R21" s="5" t="inlineStr">
        <is>
          <t>Mesure de l'illectronisme, contenu explicite de la dimension (A7), 7 vagues de 2015 à 2025 (D17 ; 15 % en 2015, 7 % en 2025).</t>
        </is>
      </c>
      <c r="S21" s="5" t="inlineStr">
        <is>
          <t>retenu</t>
        </is>
      </c>
      <c r="T21" s="7" t="inlineStr"/>
      <c r="U21" s="7" t="inlineStr"/>
    </row>
    <row r="22" ht="60" customHeight="1">
      <c r="A22" s="5" t="inlineStr">
        <is>
          <t>compétences numériques</t>
        </is>
      </c>
      <c r="B22" s="5" t="inlineStr">
        <is>
          <t>specialistes_tic</t>
        </is>
      </c>
      <c r="C22" s="6" t="inlineStr">
        <is>
          <t>specialistes_tic</t>
        </is>
      </c>
      <c r="D22" s="5" t="inlineStr">
        <is>
          <t>Spécialistes des technologies de l'information et de la communication dans l'emploi</t>
        </is>
      </c>
      <c r="E22" s="5" t="inlineStr">
        <is>
          <t>oui</t>
        </is>
      </c>
      <c r="F22" s="5" t="inlineStr">
        <is>
          <t>Part des spécialistes des technologies de l'information et de la communication (professions de la CITP-08 retenues par Eurostat) dans l'emploi total, d'après l'enquête européenne sur les forces de travail (Eurostat …</t>
        </is>
      </c>
      <c r="G22" s="5" t="inlineStr">
        <is>
          <t>haut</t>
        </is>
      </c>
      <c r="H22" s="5" t="inlineStr">
        <is>
          <t>% de l'emploi total</t>
        </is>
      </c>
      <c r="I22" s="5" t="inlineStr">
        <is>
          <t>Eurostat — isoc_sks_itspt (spécialistes des TIC en emploi)</t>
        </is>
      </c>
      <c r="J22" s="5" t="inlineStr">
        <is>
          <t>isoc_sks_itspt?freq=A&amp;unit=PC_EMP&amp;geo=FR</t>
        </is>
      </c>
      <c r="K22" s="5" t="inlineStr">
        <is>
          <t>2004-2025 (22 points, annuelle)</t>
        </is>
      </c>
      <c r="L22" s="5" t="inlineStr">
        <is>
          <t>resultat</t>
        </is>
      </c>
      <c r="M22" s="5" t="inlineStr">
        <is>
          <t>non</t>
        </is>
      </c>
      <c r="N22" s="5" t="inlineStr">
        <is>
          <t>non</t>
        </is>
      </c>
      <c r="O22" s="5" t="inlineStr">
        <is>
          <t>non</t>
        </is>
      </c>
      <c r="P22" s="5" t="inlineStr">
        <is>
          <t>non</t>
        </is>
      </c>
      <c r="Q22" s="5" t="inlineStr">
        <is>
          <t>retenir</t>
        </is>
      </c>
      <c r="R22" s="5" t="inlineStr">
        <is>
          <t>Mesure des compétences numériques avancées de la population en emploi, maintenue en education (D44), annuelle de 2004 à 2025 (22 points ; 4,0 % en 2004, 4,9 % en 2025) avec des ruptures en 2005, 2006, 2011, 2013, 2014 et 2021.</t>
        </is>
      </c>
      <c r="S22" s="5" t="inlineStr">
        <is>
          <t>retenu</t>
        </is>
      </c>
      <c r="T22" s="7" t="inlineStr"/>
      <c r="U22" s="7" t="inlineStr"/>
    </row>
    <row r="23" ht="60" customHeight="1">
      <c r="A23" s="5" t="inlineStr">
        <is>
          <t>diplômes et sorties précoces</t>
        </is>
      </c>
      <c r="B23" s="5" t="inlineStr">
        <is>
          <t>diplomes_superieur_25_34</t>
        </is>
      </c>
      <c r="C23" s="6" t="inlineStr">
        <is>
          <t>diplomes_superieur_25_34</t>
        </is>
      </c>
      <c r="D23" s="5" t="inlineStr">
        <is>
          <t>Jeunes adultes de 25 à 34 ans diplômés de l'enseignement supérieur</t>
        </is>
      </c>
      <c r="E23" s="5" t="inlineStr">
        <is>
          <t>oui</t>
        </is>
      </c>
      <c r="F23" s="5" t="inlineStr">
        <is>
          <t>Part des personnes de 25 à 34 ans dont le plus haut diplôme relève de l'enseignement supérieur (CITE 5 à 8 ; CITE 1997 5-6 avant 2014), d'après l'enquête européenne sur les forces de travail (Eurostat, indicateur ODD …</t>
        </is>
      </c>
      <c r="G23" s="5" t="inlineStr">
        <is>
          <t>haut</t>
        </is>
      </c>
      <c r="H23" s="5" t="inlineStr">
        <is>
          <t>% des 25-34 ans</t>
        </is>
      </c>
      <c r="I23" s="5" t="inlineStr">
        <is>
          <t>Eurostat — sdg_04_20 (indicateur ODD 4, enquête sur les forces de travail)</t>
        </is>
      </c>
      <c r="J23" s="5" t="inlineStr">
        <is>
          <t>sdg_04_20?freq=A&amp;sex=T&amp;age=Y25-34&amp;unit=PC&amp;isced11=ED5-8&amp;geo=FR</t>
        </is>
      </c>
      <c r="K23" s="5" t="inlineStr">
        <is>
          <t>2000-2025 (26 points, annuelle)</t>
        </is>
      </c>
      <c r="L23" s="5" t="inlineStr">
        <is>
          <t>resultat</t>
        </is>
      </c>
      <c r="M23" s="5" t="inlineStr">
        <is>
          <t>non</t>
        </is>
      </c>
      <c r="N23" s="5" t="inlineStr">
        <is>
          <t>non</t>
        </is>
      </c>
      <c r="O23" s="5" t="inlineStr">
        <is>
          <t>non</t>
        </is>
      </c>
      <c r="P23" s="5" t="inlineStr">
        <is>
          <t>non</t>
        </is>
      </c>
      <c r="Q23" s="5" t="inlineStr">
        <is>
          <t>retenir</t>
        </is>
      </c>
      <c r="R23" s="5" t="inlineStr">
        <is>
          <t>Indicateur de l'espace européen de l'éducation (cible d'au moins 45 % en 2030) et du cadre Eurostat Qualité de vie, annuel de 2000 à 2025 (31,4 % en 2000, 55,8 % en 2025).</t>
        </is>
      </c>
      <c r="S23" s="5" t="inlineStr">
        <is>
          <t>retenu</t>
        </is>
      </c>
      <c r="T23" s="7" t="inlineStr"/>
      <c r="U23" s="7" t="inlineStr"/>
    </row>
    <row r="24" ht="60" customHeight="1">
      <c r="A24" s="5" t="inlineStr">
        <is>
          <t>diplômes et sorties précoces</t>
        </is>
      </c>
      <c r="B24" s="5" t="inlineStr">
        <is>
          <t>esperance_scolarisation</t>
        </is>
      </c>
      <c r="C24" s="6" t="inlineStr">
        <is>
          <t>esperance_scolarisation</t>
        </is>
      </c>
      <c r="D24" s="5" t="inlineStr">
        <is>
          <t>Espérance de scolarisation (durée attendue des études)</t>
        </is>
      </c>
      <c r="E24" s="5" t="inlineStr">
        <is>
          <t>oui</t>
        </is>
      </c>
      <c r="F24" s="5" t="inlineStr">
        <is>
          <t>Nombre d'années d'études qu'un enfant en âge d'entrer à l'école peut espérer accomplir si les taux de scolarisation par âge observés l'année considérée se maintenaient (PNUD, d'après l'UNESCO).</t>
        </is>
      </c>
      <c r="G24" s="5" t="inlineStr">
        <is>
          <t>haut</t>
        </is>
      </c>
      <c r="H24" s="5" t="inlineStr">
        <is>
          <t>années</t>
        </is>
      </c>
      <c r="I24" s="5" t="inlineStr">
        <is>
          <t>PNUD (Rapport sur le développement humain 2025) — séries composites, colonnes eys_&lt;année&gt;</t>
        </is>
      </c>
      <c r="J24" s="5" t="inlineStr">
        <is>
          <t>https://hdr.undp.org/sites/default/files/2025_HDR/HDR25_Composite_indices_complete_time_series.csv (colonnes eys_&lt;année&gt;)</t>
        </is>
      </c>
      <c r="K24" s="5" t="inlineStr">
        <is>
          <t>1990-2023 (24 points, annuelle)</t>
        </is>
      </c>
      <c r="L24" s="5" t="inlineStr">
        <is>
          <t>resultat</t>
        </is>
      </c>
      <c r="M24" s="5" t="inlineStr">
        <is>
          <t>non</t>
        </is>
      </c>
      <c r="N24" s="5" t="inlineStr">
        <is>
          <t>non</t>
        </is>
      </c>
      <c r="O24" s="5" t="inlineStr">
        <is>
          <t>non</t>
        </is>
      </c>
      <c r="P24" s="5" t="inlineStr">
        <is>
          <t>non</t>
        </is>
      </c>
      <c r="Q24" s="5" t="inlineStr">
        <is>
          <t>retenir</t>
        </is>
      </c>
      <c r="R24" s="5" t="inlineStr">
        <is>
          <t>Indicateur « durée prévisible de scolarité » du Better Life Index de l'OCDE et composante éducation de l'IDH, annuel de 1990 à 2023 (16,1 ans en 2023), plus fin que la série Eurostat arrondie à l'année.</t>
        </is>
      </c>
      <c r="S24" s="5" t="inlineStr">
        <is>
          <t>retenu</t>
        </is>
      </c>
      <c r="T24" s="7" t="inlineStr"/>
      <c r="U24" s="7" t="inlineStr"/>
    </row>
    <row r="25" ht="60" customHeight="1">
      <c r="A25" s="5" t="inlineStr">
        <is>
          <t>diplômes et sorties précoces</t>
        </is>
      </c>
      <c r="B25" s="5" t="inlineStr">
        <is>
          <t>niveau_etudes_adultes</t>
        </is>
      </c>
      <c r="C25" s="6" t="inlineStr">
        <is>
          <t>adultes_peu_diplomes</t>
        </is>
      </c>
      <c r="D25" s="5" t="inlineStr">
        <is>
          <t>Adultes de 25 à 64 ans sans diplôme du second cycle du secondaire</t>
        </is>
      </c>
      <c r="E25" s="5" t="inlineStr">
        <is>
          <t>oui</t>
        </is>
      </c>
      <c r="F25" s="5" t="inlineStr">
        <is>
          <t>Part des personnes de 25 à 64 ans vivant en ménage ordinaire dont le plus haut niveau atteint est au plus le premier cycle du secondaire (CITE 0 à 2 : aucun diplôme, certificat d'études ou brevet), d'après l'enquête …</t>
        </is>
      </c>
      <c r="G25" s="5" t="inlineStr">
        <is>
          <t>bas</t>
        </is>
      </c>
      <c r="H25" s="5" t="inlineStr">
        <is>
          <t>% des 25-64 ans</t>
        </is>
      </c>
      <c r="I25" s="5" t="inlineStr">
        <is>
          <t>Eurostat — edat_lfse_03 (population par niveau d'éducation atteint), modalité 25-64 ans, CITE 0-2</t>
        </is>
      </c>
      <c r="J25" s="5" t="inlineStr">
        <is>
          <t>edat_lfse_03?freq=A&amp;sex=T&amp;age=Y15-19&amp;age=Y15-24&amp;age=Y15-29&amp;age=Y15-34&amp;age=Y15-64&amp;age=Y15-69&amp;age=Y18-24&amp;age=Y18-64&amp;age=Y18-69&amp;age=Y18-74&amp;age=Y20-24&amp;age=Y20-29&amp;age=Y20-34&amp;age=Y25-29&amp;age=Y25-34&amp;age=Y25-54&amp;age=Y25-64&amp;age=Y25-69&amp;age=Y25-74&amp;age=Y30-34&amp;age=Y30-54&amp;age=Y35-44&amp;age=Y35-54&amp;age=Y45-54&amp;age=Y45-64&amp;age=Y55-64&amp;age=Y55-69&amp;age=Y55-74&amp;age=UNK&amp;unit=PC&amp;isced11=ED0-2&amp;geo=FR</t>
        </is>
      </c>
      <c r="K25" s="5" t="inlineStr">
        <is>
          <t>2000-2025 (26 points, annuelle)</t>
        </is>
      </c>
      <c r="L25" s="5" t="inlineStr">
        <is>
          <t>resultat</t>
        </is>
      </c>
      <c r="M25" s="5" t="inlineStr">
        <is>
          <t>non</t>
        </is>
      </c>
      <c r="N25" s="5" t="inlineStr">
        <is>
          <t>non</t>
        </is>
      </c>
      <c r="O25" s="5" t="inlineStr">
        <is>
          <t>non</t>
        </is>
      </c>
      <c r="P25" s="5" t="inlineStr">
        <is>
          <t>non</t>
        </is>
      </c>
      <c r="Q25" s="5" t="inlineStr">
        <is>
          <t>retenir</t>
        </is>
      </c>
      <c r="R25" s="5" t="inlineStr">
        <is>
          <t>Niveau d'études de la population adulte (cadre SSF), annuel de 2000 à 2025 (37,8 % en 2000, 15,3 % en 2025), mesure la plus longue et la plus récente du stock de diplômes des adultes.</t>
        </is>
      </c>
      <c r="S25" s="5" t="inlineStr">
        <is>
          <t>retenu</t>
        </is>
      </c>
      <c r="T25" s="7" t="inlineStr"/>
      <c r="U25" s="7" t="inlineStr"/>
    </row>
    <row r="26" ht="60" customHeight="1">
      <c r="A26" s="5" t="inlineStr">
        <is>
          <t>diplômes et sorties précoces</t>
        </is>
      </c>
      <c r="B26" s="5" t="inlineStr">
        <is>
          <t>niveau_etudes_adultes</t>
        </is>
      </c>
      <c r="C26" s="5" t="inlineStr">
        <is>
          <t>duree_moyenne_scolarisation</t>
        </is>
      </c>
      <c r="D26" s="5" t="inlineStr">
        <is>
          <t>Durée moyenne de scolarisation des 25 ans ou plus</t>
        </is>
      </c>
      <c r="E26" s="5" t="inlineStr">
        <is>
          <t>non</t>
        </is>
      </c>
      <c r="F26" s="5" t="inlineStr">
        <is>
          <t>Nombre moyen d'années d'études accomplies par les personnes de 25 ans ou plus, estimé par le PNUD d'après l'UNESCO et Barro et Lee (composante éducation de l'indice de développement humain).</t>
        </is>
      </c>
      <c r="G26" s="5" t="inlineStr">
        <is>
          <t>haut</t>
        </is>
      </c>
      <c r="H26" s="5" t="inlineStr">
        <is>
          <t>années</t>
        </is>
      </c>
      <c r="I26" s="5" t="inlineStr">
        <is>
          <t>PNUD (Rapport sur le développement humain 2025) — séries composites, colonnes mys_&lt;année&gt;</t>
        </is>
      </c>
      <c r="J26" s="5" t="inlineStr">
        <is>
          <t>https://hdr.undp.org/sites/default/files/2025_HDR/HDR25_Composite_indices_complete_time_series.csv (colonnes mys_&lt;année&gt;)</t>
        </is>
      </c>
      <c r="K26" s="5" t="inlineStr">
        <is>
          <t>1990-2023 (24 points, annuelle)</t>
        </is>
      </c>
      <c r="L26" s="5" t="inlineStr">
        <is>
          <t>resultat</t>
        </is>
      </c>
      <c r="M26" s="5" t="inlineStr">
        <is>
          <t>non</t>
        </is>
      </c>
      <c r="N26" s="5" t="inlineStr">
        <is>
          <t>non</t>
        </is>
      </c>
      <c r="O26" s="5" t="inlineStr">
        <is>
          <t>non</t>
        </is>
      </c>
      <c r="P26" s="5" t="inlineStr">
        <is>
          <t>non</t>
        </is>
      </c>
      <c r="Q26" s="5" t="inlineStr">
        <is>
          <t>retenir_variante</t>
        </is>
      </c>
      <c r="R26" s="5" t="inlineStr">
        <is>
          <t>Autre statistique du niveau d'études des adultes (cadre SSF : nombre moyen d'années de scolarité), annuelle de 1990 à 2023 (11,77 ans en 2023) mais estimée et moins récente que la part des adultes peu diplômés.</t>
        </is>
      </c>
      <c r="S26" s="5" t="inlineStr">
        <is>
          <t>retenu</t>
        </is>
      </c>
      <c r="T26" s="7" t="inlineStr"/>
      <c r="U26" s="7" t="inlineStr"/>
    </row>
    <row r="27" ht="60" customHeight="1">
      <c r="A27" s="5" t="inlineStr">
        <is>
          <t>diplômes et sorties précoces</t>
        </is>
      </c>
      <c r="B27" s="5" t="inlineStr">
        <is>
          <t>proportion_bacheliers_generation</t>
        </is>
      </c>
      <c r="C27" s="6" t="inlineStr">
        <is>
          <t>proportion_bacheliers_generation</t>
        </is>
      </c>
      <c r="D27" s="5" t="inlineStr">
        <is>
          <t>Proportion de bacheliers dans une génération</t>
        </is>
      </c>
      <c r="E27" s="5" t="inlineStr">
        <is>
          <t>oui</t>
        </is>
      </c>
      <c r="F27" s="5" t="inlineStr">
        <is>
          <t>Part des jeunes d'une génération qui obtiennent le baccalauréat, toutes séries confondues, calculée par la DEPP (France hors Mayotte, données définitives).</t>
        </is>
      </c>
      <c r="G27" s="5" t="inlineStr">
        <is>
          <t>haut</t>
        </is>
      </c>
      <c r="H27" s="5" t="inlineStr">
        <is>
          <t>% d'une génération</t>
        </is>
      </c>
      <c r="I27" s="5" t="inlineStr">
        <is>
          <t>DEPP — fr-en-proportion-de-bacheliers-dans-une-generation (data.education.gouv.fr), tous baccalauréats, données définitives</t>
        </is>
      </c>
      <c r="J27" s="5" t="inlineStr">
        <is>
          <t>https://data.education.gouv.fr/api/explore/v2.1/catalog/datasets/fr-en-proportion-de-bacheliers-dans-une-generation (France hors Mayotte.Tous baccalauréats.données définitives#pourcentage_de_bacheliers_dans_une_generation)</t>
        </is>
      </c>
      <c r="K27" s="5" t="inlineStr">
        <is>
          <t>2001-2023 (23 points, annuelle)</t>
        </is>
      </c>
      <c r="L27" s="5" t="inlineStr">
        <is>
          <t>resultat</t>
        </is>
      </c>
      <c r="M27" s="5" t="inlineStr">
        <is>
          <t>non</t>
        </is>
      </c>
      <c r="N27" s="5" t="inlineStr">
        <is>
          <t>non</t>
        </is>
      </c>
      <c r="O27" s="5" t="inlineStr">
        <is>
          <t>non</t>
        </is>
      </c>
      <c r="P27" s="5" t="inlineStr">
        <is>
          <t>non</t>
        </is>
      </c>
      <c r="Q27" s="5" t="inlineStr">
        <is>
          <t>retenir</t>
        </is>
      </c>
      <c r="R27" s="5" t="inlineStr">
        <is>
          <t>Indicateur national de l'accès au baccalauréat, annuel de 2001 à 2023 en données définitives (23 points ; 80,7 % en 2023), prolongé par des données provisoires jusqu'en 2025 (80,1 %).</t>
        </is>
      </c>
      <c r="S27" s="5" t="inlineStr">
        <is>
          <t>retenu</t>
        </is>
      </c>
      <c r="T27" s="7" t="inlineStr"/>
      <c r="U27" s="7" t="inlineStr"/>
    </row>
    <row r="28" ht="60" customHeight="1">
      <c r="A28" s="5" t="inlineStr">
        <is>
          <t>diplômes et sorties précoces</t>
        </is>
      </c>
      <c r="B28" s="5" t="inlineStr">
        <is>
          <t>sorties_precoces</t>
        </is>
      </c>
      <c r="C28" s="6" t="inlineStr">
        <is>
          <t>sorties_precoces</t>
        </is>
      </c>
      <c r="D28" s="5" t="inlineStr">
        <is>
          <t>Sorties précoces du système scolaire (18-24 ans)</t>
        </is>
      </c>
      <c r="E28" s="5" t="inlineStr">
        <is>
          <t>oui</t>
        </is>
      </c>
      <c r="F28" s="5" t="inlineStr">
        <is>
          <t>Part des jeunes de 18 à 24 ans qui ne suivent ni études ni formation et n'ont pas de diplôme du second cycle du secondaire (CAP, BEP ou plus), en moyenne annuelle (INSEE, enquête Emploi, France hors Mayotte).</t>
        </is>
      </c>
      <c r="G28" s="5" t="inlineStr">
        <is>
          <t>bas</t>
        </is>
      </c>
      <c r="H28" s="5" t="inlineStr">
        <is>
          <t>% des 18-24 ans</t>
        </is>
      </c>
      <c r="I28" s="5" t="inlineStr">
        <is>
          <t>INSEE — BDM, indicateurs de richesse nationale et ODD 4.i4 (enquête Emploi)</t>
        </is>
      </c>
      <c r="J28" s="5" t="inlineStr">
        <is>
          <t>010594746</t>
        </is>
      </c>
      <c r="K28" s="5" t="inlineStr">
        <is>
          <t>2006-2024 (19 points, annuelle)</t>
        </is>
      </c>
      <c r="L28" s="5" t="inlineStr">
        <is>
          <t>resultat</t>
        </is>
      </c>
      <c r="M28" s="5" t="inlineStr">
        <is>
          <t>non</t>
        </is>
      </c>
      <c r="N28" s="5" t="inlineStr">
        <is>
          <t>non</t>
        </is>
      </c>
      <c r="O28" s="5" t="inlineStr">
        <is>
          <t>oui</t>
        </is>
      </c>
      <c r="P28" s="5" t="inlineStr">
        <is>
          <t>oui</t>
        </is>
      </c>
      <c r="Q28" s="5" t="inlineStr">
        <is>
          <t>retenir</t>
        </is>
      </c>
      <c r="R28" s="5" t="inlineStr">
        <is>
          <t>Concept présent dans les cinq cadres de bien-être (crosswalk §5), indicateur de richesse nationale doté de cibles européenne (moins de 9 %) et française (9,5 %) en 2030, annuel de 2006 à 2024 (19 points ; 7,9 % en 2024), principal par exception à la méthode §4 (D44) pour son champ homogène rétropolé par la DEPP de 2003 à 2013, la série d'Eurostat étant plus longue mais rompue en 2013.</t>
        </is>
      </c>
      <c r="S28" s="5" t="inlineStr">
        <is>
          <t>retenu_socle</t>
        </is>
      </c>
      <c r="T28" s="7" t="inlineStr"/>
      <c r="U28" s="7" t="inlineStr"/>
    </row>
    <row r="29" ht="60" customHeight="1">
      <c r="A29" s="5" t="inlineStr">
        <is>
          <t>diplômes et sorties précoces</t>
        </is>
      </c>
      <c r="B29" s="5" t="inlineStr">
        <is>
          <t>sorties_precoces</t>
        </is>
      </c>
      <c r="C29" s="5" t="inlineStr">
        <is>
          <t>jeunes_diplomes_secondaire</t>
        </is>
      </c>
      <c r="D29" s="5" t="inlineStr">
        <is>
          <t>Jeunes adultes de 25 à 34 ans diplômés au moins du second cycle du secondaire</t>
        </is>
      </c>
      <c r="E29" s="5" t="inlineStr">
        <is>
          <t>non</t>
        </is>
      </c>
      <c r="F29" s="5" t="inlineStr">
        <is>
          <t>Part des personnes de 25 à 34 ans vivant en ménage ordinaire dont le plus haut niveau atteint relève au moins du second cycle du secondaire (CITE 3 à 8 : CAP, BEP, baccalauréat ou plus), d'après l'enquête européenne sur …</t>
        </is>
      </c>
      <c r="G29" s="5" t="inlineStr">
        <is>
          <t>haut</t>
        </is>
      </c>
      <c r="H29" s="5" t="inlineStr">
        <is>
          <t>% des 25-34 ans</t>
        </is>
      </c>
      <c r="I29" s="5" t="inlineStr">
        <is>
          <t>Eurostat — edat_lfse_03 (population par niveau d'éducation atteint), modalité 25-34 ans, CITE 3-8</t>
        </is>
      </c>
      <c r="J29" s="5" t="inlineStr">
        <is>
          <t>edat_lfse_03?freq=A&amp;sex=T&amp;age=Y15-19&amp;age=Y15-24&amp;age=Y15-29&amp;age=Y15-34&amp;age=Y15-64&amp;age=Y15-69&amp;age=Y18-24&amp;age=Y18-64&amp;age=Y18-69&amp;age=Y18-74&amp;age=Y20-24&amp;age=Y20-29&amp;age=Y20-34&amp;age=Y25-29&amp;age=Y25-34&amp;age=Y25-54&amp;age=Y25-64&amp;age=Y25-69&amp;age=Y25-74&amp;age=Y30-34&amp;age=Y30-54&amp;age=Y35-44&amp;age=Y35-54&amp;age=Y45-54&amp;age=Y45-64&amp;age=Y55-64&amp;age=Y55-69&amp;age=Y55-74&amp;age=UNK&amp;unit=PC&amp;isced11=ED3-8&amp;geo=FR</t>
        </is>
      </c>
      <c r="K29" s="5" t="inlineStr">
        <is>
          <t>2000-2025 (26 points, annuelle)</t>
        </is>
      </c>
      <c r="L29" s="5" t="inlineStr">
        <is>
          <t>resultat</t>
        </is>
      </c>
      <c r="M29" s="5" t="inlineStr">
        <is>
          <t>non</t>
        </is>
      </c>
      <c r="N29" s="5" t="inlineStr">
        <is>
          <t>non</t>
        </is>
      </c>
      <c r="O29" s="5" t="inlineStr">
        <is>
          <t>non</t>
        </is>
      </c>
      <c r="P29" s="5" t="inlineStr">
        <is>
          <t>non</t>
        </is>
      </c>
      <c r="Q29" s="5" t="inlineStr">
        <is>
          <t>retenir_variante</t>
        </is>
      </c>
      <c r="R29" s="5" t="inlineStr">
        <is>
          <t>Autre lecture de l'achèvement du secondaire (concept incontournable porté par les sorties précoces, D38 d), indicateur de l'OCDE (13_1) et du cadre SSF, annuelle de 2000 à 2025 (76,4 % en 2000, 89,9 % en 2025) mais sans cible officielle, d'où la variante principale laissée aux sorties précoces.</t>
        </is>
      </c>
      <c r="S29" s="5" t="inlineStr">
        <is>
          <t>retenu</t>
        </is>
      </c>
      <c r="T29" s="7" t="inlineStr"/>
      <c r="U29" s="7" t="inlineStr"/>
    </row>
    <row r="30" ht="60" customHeight="1">
      <c r="A30" s="5" t="inlineStr">
        <is>
          <t>diplômes et sorties précoces</t>
        </is>
      </c>
      <c r="B30" s="5" t="inlineStr">
        <is>
          <t>taux_reussite_bac</t>
        </is>
      </c>
      <c r="C30" s="6" t="inlineStr">
        <is>
          <t>taux_reussite_bac</t>
        </is>
      </c>
      <c r="D30" s="5" t="inlineStr">
        <is>
          <t>Taux de réussite au baccalauréat (toutes séries)</t>
        </is>
      </c>
      <c r="E30" s="5" t="inlineStr">
        <is>
          <t>oui</t>
        </is>
      </c>
      <c r="F30" s="5" t="inlineStr">
        <is>
          <t>Part des candidats présents admis au baccalauréat, toutes séries confondues (DEPP).</t>
        </is>
      </c>
      <c r="G30" s="5" t="inlineStr">
        <is>
          <t>ambigu</t>
        </is>
      </c>
      <c r="H30" s="5" t="inlineStr">
        <is>
          <t>% des candidats présents</t>
        </is>
      </c>
      <c r="I30" s="5" t="inlineStr">
        <is>
          <t>DEPP — fr-en-reussite-au-baccalaureat-origine-sociale (data.education.gouv.fr), ensemble des candidats</t>
        </is>
      </c>
      <c r="J30" s="5" t="inlineStr">
        <is>
          <t>https://data.education.gouv.fr/api/explore/v2.1/catalog/datasets/fr-en-reussite-au-baccalaureat-origine-sociale (Ensemble#pourcentage_d_admis_au_baccalaureat)</t>
        </is>
      </c>
      <c r="K30" s="5" t="inlineStr">
        <is>
          <t>1997-2025 (26 points, annuelle)</t>
        </is>
      </c>
      <c r="L30" s="5" t="inlineStr">
        <is>
          <t>resultat</t>
        </is>
      </c>
      <c r="M30" s="5" t="inlineStr">
        <is>
          <t>non</t>
        </is>
      </c>
      <c r="N30" s="5" t="inlineStr">
        <is>
          <t>non</t>
        </is>
      </c>
      <c r="O30" s="5" t="inlineStr">
        <is>
          <t>non</t>
        </is>
      </c>
      <c r="P30" s="5" t="inlineStr">
        <is>
          <t>non</t>
        </is>
      </c>
      <c r="Q30" s="5" t="inlineStr">
        <is>
          <t>ecarter</t>
        </is>
      </c>
      <c r="R30" s="5" t="inlineStr">
        <is>
          <t>Sens ambigu : le taux d'admis (91,6 % en 2025) dépend autant des exigences de l'examen et de ses réformes que du niveau des candidats, et ignore les jeunes qui ne se présentent pas.</t>
        </is>
      </c>
      <c r="S30" s="5" t="inlineStr">
        <is>
          <t>ecarte</t>
        </is>
      </c>
      <c r="T30" s="7" t="inlineStr"/>
      <c r="U30" s="7" t="inlineStr"/>
    </row>
    <row r="31" ht="60" customHeight="1">
      <c r="A31" s="5" t="inlineStr">
        <is>
          <t>formation des adultes</t>
        </is>
      </c>
      <c r="B31" s="5" t="inlineStr">
        <is>
          <t>formation_adultes</t>
        </is>
      </c>
      <c r="C31" s="6" t="inlineStr">
        <is>
          <t>formation_adultes_12_mois</t>
        </is>
      </c>
      <c r="D31" s="5" t="inlineStr">
        <is>
          <t>Participation des 25-64 ans à l'éducation ou à la formation au cours des douze derniers mois</t>
        </is>
      </c>
      <c r="E31" s="5" t="inlineStr">
        <is>
          <t>oui</t>
        </is>
      </c>
      <c r="F31" s="5" t="inlineStr">
        <is>
          <t>Part des personnes de 25 à 64 ans ayant suivi un enseignement ou une formation, formels ou non formels, au cours des douze mois précédant l'enquête, d'après l'enquête européenne sur l'éducation des adultes (Eurostat …</t>
        </is>
      </c>
      <c r="G31" s="5" t="inlineStr">
        <is>
          <t>haut</t>
        </is>
      </c>
      <c r="H31" s="5" t="inlineStr">
        <is>
          <t>% des 25-64 ans</t>
        </is>
      </c>
      <c r="I31" s="5" t="inlineStr">
        <is>
          <t>Eurostat — trng_aes_100 (enquête sur l'éducation des adultes), modalité 25-64 ans, formel et non formel</t>
        </is>
      </c>
      <c r="J31" s="5" t="inlineStr">
        <is>
          <t>trng_aes_100?freq=A&amp;age=Y18-24&amp;age=Y18-29&amp;age=Y18-64&amp;age=Y25-29&amp;age=Y25-64&amp;age=Y25-69&amp;age=Y30-54&amp;age=Y55-69&amp;sex=T&amp;training=FE_NFE&amp;unit=PC&amp;geo=FR</t>
        </is>
      </c>
      <c r="K31" s="5" t="inlineStr">
        <is>
          <t>2007-2022 (4 points, irreguliere)</t>
        </is>
      </c>
      <c r="L31" s="5" t="inlineStr">
        <is>
          <t>resultat</t>
        </is>
      </c>
      <c r="M31" s="5" t="inlineStr">
        <is>
          <t>non</t>
        </is>
      </c>
      <c r="N31" s="5" t="inlineStr">
        <is>
          <t>non</t>
        </is>
      </c>
      <c r="O31" s="5" t="inlineStr">
        <is>
          <t>non</t>
        </is>
      </c>
      <c r="P31" s="5" t="inlineStr">
        <is>
          <t>oui</t>
        </is>
      </c>
      <c r="Q31" s="5" t="inlineStr">
        <is>
          <t>retenir</t>
        </is>
      </c>
      <c r="R31" s="5" t="inlineStr">
        <is>
          <t>Principale de la formation des adultes (D44) : participation sur douze mois de l'enquête sur l'éducation des adultes, la plus proche des séries publiées de l'indicateur des cibles européenne (60 %) et française (65 %) de 2030, quinquennale (2007, 2011, 2016 et 2022, D17 ; 50,8 % en 2022).</t>
        </is>
      </c>
      <c r="S31" s="5" t="inlineStr">
        <is>
          <t>retenu_socle</t>
        </is>
      </c>
      <c r="T31" s="7" t="inlineStr"/>
      <c r="U31" s="7" t="inlineStr"/>
    </row>
    <row r="32" ht="60" customHeight="1">
      <c r="A32" s="5" t="inlineStr">
        <is>
          <t>formation des adultes</t>
        </is>
      </c>
      <c r="B32" s="5" t="inlineStr">
        <is>
          <t>formation_adultes</t>
        </is>
      </c>
      <c r="C32" s="5" t="inlineStr">
        <is>
          <t>formation_adultes_4_semaines</t>
        </is>
      </c>
      <c r="D32" s="5" t="inlineStr">
        <is>
          <t>Participation des 25-64 ans à l'éducation ou à la formation au cours des quatre dernières semaines</t>
        </is>
      </c>
      <c r="E32" s="5" t="inlineStr">
        <is>
          <t>non</t>
        </is>
      </c>
      <c r="F32" s="5" t="inlineStr">
        <is>
          <t>Part des personnes de 25 à 64 ans ayant suivi un enseignement ou une formation, formels ou non formels, au cours des quatre semaines précédant l'enquête, d'après l'enquête européenne sur les forces de travail (Eurostat, …</t>
        </is>
      </c>
      <c r="G32" s="5" t="inlineStr">
        <is>
          <t>haut</t>
        </is>
      </c>
      <c r="H32" s="5" t="inlineStr">
        <is>
          <t>% des 25-64 ans</t>
        </is>
      </c>
      <c r="I32" s="5" t="inlineStr">
        <is>
          <t>Eurostat — sdg_04_60 (indicateur ODD 4, enquête sur les forces de travail)</t>
        </is>
      </c>
      <c r="J32" s="5" t="inlineStr">
        <is>
          <t>sdg_04_60?freq=A&amp;unit=PC&amp;age=Y25-64&amp;sex=T&amp;geo=FR</t>
        </is>
      </c>
      <c r="K32" s="5" t="inlineStr">
        <is>
          <t>2000-2025 (26 points, annuelle)</t>
        </is>
      </c>
      <c r="L32" s="5" t="inlineStr">
        <is>
          <t>resultat</t>
        </is>
      </c>
      <c r="M32" s="5" t="inlineStr">
        <is>
          <t>non</t>
        </is>
      </c>
      <c r="N32" s="5" t="inlineStr">
        <is>
          <t>non</t>
        </is>
      </c>
      <c r="O32" s="5" t="inlineStr">
        <is>
          <t>non</t>
        </is>
      </c>
      <c r="P32" s="5" t="inlineStr">
        <is>
          <t>non</t>
        </is>
      </c>
      <c r="Q32" s="5" t="inlineStr">
        <is>
          <t>retenir_variante</t>
        </is>
      </c>
      <c r="R32" s="5" t="inlineStr">
        <is>
          <t>Seule mesure annuelle de la participation des adultes à la formation (2000-2025, 26 points ; 15,5 % en 2025), en variante de la participation sur douze mois qui porte les cibles de 2030 (D44).</t>
        </is>
      </c>
      <c r="S32" s="5" t="inlineStr">
        <is>
          <t>retenu</t>
        </is>
      </c>
      <c r="T32" s="7" t="inlineStr"/>
      <c r="U32" s="7" t="inlineStr"/>
    </row>
    <row r="33" ht="60" customHeight="1">
      <c r="A33" s="5" t="inlineStr">
        <is>
          <t>formation des adultes</t>
        </is>
      </c>
      <c r="B33" s="5" t="inlineStr">
        <is>
          <t>formation_adultes</t>
        </is>
      </c>
      <c r="C33" s="5" t="inlineStr">
        <is>
          <t>formation_par_le_travail</t>
        </is>
      </c>
      <c r="D33" s="5" t="inlineStr">
        <is>
          <t>Jeunes diplômés de l'enseignement professionnel formés en situation de travail pendant leurs études</t>
        </is>
      </c>
      <c r="E33" s="5" t="inlineStr">
        <is>
          <t>non</t>
        </is>
      </c>
      <c r="F33" s="5" t="inlineStr">
        <is>
          <t>Part des diplômés récents (sortis depuis un à trois ans) du second cycle du secondaire ou du post-secondaire professionnel (CITE 35 et 45), âgés de 20 à 34 ans, qui ont eu une expérience professionnelle pendant leurs …</t>
        </is>
      </c>
      <c r="G33" s="5" t="inlineStr">
        <is>
          <t>haut</t>
        </is>
      </c>
      <c r="H33" s="5" t="inlineStr">
        <is>
          <t>% des diplômés récents de l'enseignement professionnel de 20 à 34 ans</t>
        </is>
      </c>
      <c r="I33" s="5" t="inlineStr">
        <is>
          <t>Eurostat — edat_lfs_9919 (enquête sur les forces de travail : expérience professionnelle pendant les études, par niveau d'éducation et ancienneté de sortie)</t>
        </is>
      </c>
      <c r="J33" s="5" t="inlineStr">
        <is>
          <t>edat_lfs_9919?freq=A&amp;isced11=ED35_45&amp;duration=Y1-3&amp;workstud=WE&amp;training=TOTAL&amp;age=Y20-34&amp;sex=T&amp;unit=PC&amp;geo=FR</t>
        </is>
      </c>
      <c r="K33" s="5" t="inlineStr">
        <is>
          <t>2021-2025 (5 points, annuelle)</t>
        </is>
      </c>
      <c r="L33" s="5" t="inlineStr">
        <is>
          <t>resultat</t>
        </is>
      </c>
      <c r="M33" s="5" t="inlineStr">
        <is>
          <t>non</t>
        </is>
      </c>
      <c r="N33" s="5" t="inlineStr">
        <is>
          <t>non</t>
        </is>
      </c>
      <c r="O33" s="5" t="inlineStr">
        <is>
          <t>non</t>
        </is>
      </c>
      <c r="P33" s="5" t="inlineStr">
        <is>
          <t>non</t>
        </is>
      </c>
      <c r="Q33" s="5" t="inlineStr">
        <is>
          <t>retenir_variante</t>
        </is>
      </c>
      <c r="R33" s="5" t="inlineStr">
        <is>
          <t>Seule mesure de la formation par le travail dans l'enseignement professionnel, assortie d'un objectif européen (au moins 60 % en 2025), annuelle de 2021 à 2025 (5 points), retenue en variante faute de dix points (D44, D38 f).</t>
        </is>
      </c>
      <c r="S33" s="5" t="inlineStr">
        <is>
          <t>retenu</t>
        </is>
      </c>
      <c r="T33" s="7" t="inlineStr"/>
      <c r="U33" s="7" t="inlineStr"/>
    </row>
    <row r="34" ht="60" customHeight="1">
      <c r="A34" s="5" t="inlineStr">
        <is>
          <t>formation des adultes</t>
        </is>
      </c>
      <c r="B34" s="5" t="inlineStr">
        <is>
          <t>formation_adultes_besoin_non_satisfait</t>
        </is>
      </c>
      <c r="C34" s="6" t="inlineStr">
        <is>
          <t>formation_adultes_besoin_non_satisfait</t>
        </is>
      </c>
      <c r="D34" s="5" t="inlineStr">
        <is>
          <t>Adultes de 25 à 64 ans qui auraient voulu se former sans l'avoir fait</t>
        </is>
      </c>
      <c r="E34" s="5" t="inlineStr">
        <is>
          <t>oui</t>
        </is>
      </c>
      <c r="F34" s="5" t="inlineStr">
        <is>
          <t>Part des personnes de 25 à 64 ans qui n'ont participé à aucune éducation ou formation au cours des douze derniers mois mais auraient souhaité le faire, d'après l'enquête européenne sur l'éducation des adultes (Eurostat …</t>
        </is>
      </c>
      <c r="G34" s="5" t="inlineStr">
        <is>
          <t>bas</t>
        </is>
      </c>
      <c r="H34" s="5" t="inlineStr">
        <is>
          <t>% des 25-64 ans</t>
        </is>
      </c>
      <c r="I34" s="5" t="inlineStr">
        <is>
          <t>Eurostat — trng_aes_175 (enquête sur l'éducation des adultes), modalité 25-64 ans, non-participants souhaitant participer</t>
        </is>
      </c>
      <c r="J34" s="5" t="inlineStr">
        <is>
          <t>trng_aes_175?freq=A&amp;age=Y18-24&amp;age=Y18-29&amp;age=Y18-64&amp;age=Y25-29&amp;age=Y25-64&amp;age=Y25-69&amp;age=Y30-54&amp;age=Y55-69&amp;particip=NPT_W&amp;unit=PC&amp;geo=FR</t>
        </is>
      </c>
      <c r="K34" s="5" t="inlineStr">
        <is>
          <t>2007-2022 (4 points, irreguliere)</t>
        </is>
      </c>
      <c r="L34" s="5" t="inlineStr">
        <is>
          <t>resultat</t>
        </is>
      </c>
      <c r="M34" s="5" t="inlineStr">
        <is>
          <t>non</t>
        </is>
      </c>
      <c r="N34" s="5" t="inlineStr">
        <is>
          <t>non</t>
        </is>
      </c>
      <c r="O34" s="5" t="inlineStr">
        <is>
          <t>non</t>
        </is>
      </c>
      <c r="P34" s="5" t="inlineStr">
        <is>
          <t>non</t>
        </is>
      </c>
      <c r="Q34" s="5" t="inlineStr">
        <is>
          <t>retenir</t>
        </is>
      </c>
      <c r="R34" s="5" t="inlineStr">
        <is>
          <t>Seule mesure du besoin de formation non satisfait, 4 vagues de l'enquête sur l'éducation des adultes (D17 ; 10,0 % en 2007, 11,5 % en 2022).</t>
        </is>
      </c>
      <c r="S34" s="5" t="inlineStr">
        <is>
          <t>retenu</t>
        </is>
      </c>
      <c r="T34" s="7" t="inlineStr"/>
      <c r="U34" s="7" t="inlineStr"/>
    </row>
    <row r="35" ht="60" customHeight="1">
      <c r="A35" s="5" t="inlineStr">
        <is>
          <t>moyens</t>
        </is>
      </c>
      <c r="B35" s="5" t="inlineStr">
        <is>
          <t>depense_publique_education</t>
        </is>
      </c>
      <c r="C35" s="6" t="inlineStr">
        <is>
          <t>depense_publique_education</t>
        </is>
      </c>
      <c r="D35" s="5" t="inlineStr">
        <is>
          <t>Dépenses publiques d'éducation en % du PIB</t>
        </is>
      </c>
      <c r="E35" s="5" t="inlineStr">
        <is>
          <t>oui</t>
        </is>
      </c>
      <c r="F35" s="5" t="inlineStr">
        <is>
          <t>Dépenses des administrations publiques au titre de l'éducation, du préprimaire au supérieur (CITE 02 à 8), rapportées au PIB (Eurostat educ_uoe_fine06, statistiques UOE).</t>
        </is>
      </c>
      <c r="G35" s="5" t="inlineStr">
        <is>
          <t>ambigu</t>
        </is>
      </c>
      <c r="H35" s="5" t="inlineStr">
        <is>
          <t>% du PIB</t>
        </is>
      </c>
      <c r="I35" s="5" t="inlineStr">
        <is>
          <t>Eurostat — educ_uoe_fine06 (dépenses publiques d'éducation), CITE 02-8</t>
        </is>
      </c>
      <c r="J35" s="5" t="inlineStr">
        <is>
          <t>educ_uoe_fine06?freq=A&amp;unit=PC_GDP&amp;isced11=ED02-8&amp;geo=FR</t>
        </is>
      </c>
      <c r="K35" s="5" t="inlineStr">
        <is>
          <t>2012-2023 (12 points, annuelle)</t>
        </is>
      </c>
      <c r="L35" s="5" t="inlineStr">
        <is>
          <t>moyen</t>
        </is>
      </c>
      <c r="M35" s="5" t="inlineStr">
        <is>
          <t>non</t>
        </is>
      </c>
      <c r="N35" s="5" t="inlineStr">
        <is>
          <t>non</t>
        </is>
      </c>
      <c r="O35" s="5" t="inlineStr">
        <is>
          <t>non</t>
        </is>
      </c>
      <c r="P35" s="5" t="inlineStr">
        <is>
          <t>non</t>
        </is>
      </c>
      <c r="Q35" s="5" t="inlineStr">
        <is>
          <t>ecarter</t>
        </is>
      </c>
      <c r="R35" s="5" t="inlineStr">
        <is>
          <t>Sens ambigu : la part du PIB consacrée à l'éducation varie avec la démographie scolaire et le PIB autant qu'avec l'effort (pic de 5,66 % en 2020 dû à la chute du PIB), et le seul repère existant, international (Cadre d'action Éducation 2030 : au moins 4 à 6 % du PIB), est un plancher que la France dépasse chaque année (5,26 % en 2023).</t>
        </is>
      </c>
      <c r="S35" s="5" t="inlineStr">
        <is>
          <t>ecarte</t>
        </is>
      </c>
      <c r="T35" s="7" t="inlineStr"/>
      <c r="U35" s="7" t="inlineStr"/>
    </row>
    <row r="36" ht="60" customHeight="1">
      <c r="A36" s="5" t="inlineStr">
        <is>
          <t>petite enfance</t>
        </is>
      </c>
      <c r="B36" s="5" t="inlineStr">
        <is>
          <t>accueil_petite_enfance</t>
        </is>
      </c>
      <c r="C36" s="6" t="inlineStr">
        <is>
          <t>accueil_formel_moins_3_ans</t>
        </is>
      </c>
      <c r="D36" s="5" t="inlineStr">
        <is>
          <t>Enfants de moins de 3 ans accueillis en mode de garde formel ou à l'école</t>
        </is>
      </c>
      <c r="E36" s="5" t="inlineStr">
        <is>
          <t>oui</t>
        </is>
      </c>
      <c r="F36" s="5" t="inlineStr">
        <is>
          <t>Part des enfants de moins de 3 ans accueillis au moins une heure par semaine dans un mode de garde formel (structure collective, accueil familial organisé, école), somme des durées « 1 à 29 heures » et « 30 heures ou …</t>
        </is>
      </c>
      <c r="G36" s="5" t="inlineStr">
        <is>
          <t>haut</t>
        </is>
      </c>
      <c r="H36" s="5" t="inlineStr">
        <is>
          <t>% des enfants de moins de 3 ans</t>
        </is>
      </c>
      <c r="I36" s="5" t="inlineStr">
        <is>
          <t>Eurostat (EU-SILC) — ilc_caindformal (enfants en mode de garde formel par âge et durée), moins de 3 ans</t>
        </is>
      </c>
      <c r="J36" s="5" t="inlineStr">
        <is>
          <t>ilc_caindformal?freq=A&amp;age=Y_LT3&amp;duration=H1-29&amp;unit=PC&amp;geo=FR</t>
        </is>
      </c>
      <c r="K36" s="5" t="inlineStr">
        <is>
          <t>2005-2025 (21 points, annuelle)</t>
        </is>
      </c>
      <c r="L36" s="5" t="inlineStr">
        <is>
          <t>resultat</t>
        </is>
      </c>
      <c r="M36" s="5" t="inlineStr">
        <is>
          <t>non</t>
        </is>
      </c>
      <c r="N36" s="5" t="inlineStr">
        <is>
          <t>non</t>
        </is>
      </c>
      <c r="O36" s="5" t="inlineStr">
        <is>
          <t>non</t>
        </is>
      </c>
      <c r="P36" s="5" t="inlineStr">
        <is>
          <t>oui</t>
        </is>
      </c>
      <c r="Q36" s="5" t="inlineStr">
        <is>
          <t>retenir</t>
        </is>
      </c>
      <c r="R36" s="5" t="inlineStr">
        <is>
          <t>Indicateur phare du socle européen des droits sociaux (tableau tepsr_sp210), annuel de 2005 à 2025 (21 points ; 32,0 % en 2005, 59,7 % en 2025), somme recoupée avec les valeurs publiées par Eurostat.</t>
        </is>
      </c>
      <c r="S36" s="5" t="inlineStr">
        <is>
          <t>retenu_socle</t>
        </is>
      </c>
      <c r="T36" s="7" t="inlineStr"/>
      <c r="U36" s="7" t="inlineStr"/>
    </row>
    <row r="37" ht="60" customHeight="1">
      <c r="A37" s="5" t="inlineStr">
        <is>
          <t>petite enfance</t>
        </is>
      </c>
      <c r="B37" s="5" t="inlineStr">
        <is>
          <t>accueil_petite_enfance</t>
        </is>
      </c>
      <c r="C37" s="5" t="inlineStr">
        <is>
          <t>prescolarisation_3_ans</t>
        </is>
      </c>
      <c r="D37" s="5" t="inlineStr">
        <is>
          <t>Participation à l'éducation préscolaire des enfants de 3 ans à l'âge de la scolarité obligatoire</t>
        </is>
      </c>
      <c r="E37" s="5" t="inlineStr">
        <is>
          <t>non</t>
        </is>
      </c>
      <c r="F37" s="5" t="inlineStr">
        <is>
          <t>Part des enfants âgés de 3 ans à l'âge du début de la scolarité primaire obligatoire qui participent à l'éducation de la petite enfance (Eurostat, indicateur ODD sdg_04_31, statistiques UOE).</t>
        </is>
      </c>
      <c r="G37" s="5" t="inlineStr">
        <is>
          <t>haut</t>
        </is>
      </c>
      <c r="H37" s="5" t="inlineStr">
        <is>
          <t>% des enfants concernés</t>
        </is>
      </c>
      <c r="I37" s="5" t="inlineStr">
        <is>
          <t>Eurostat — sdg_04_31 (indicateur ODD 4, statistiques UOE)</t>
        </is>
      </c>
      <c r="J37" s="5" t="inlineStr">
        <is>
          <t>sdg_04_31?freq=A&amp;sex=T&amp;unit=PC&amp;geo=FR</t>
        </is>
      </c>
      <c r="K37" s="5" t="inlineStr">
        <is>
          <t>2013-2024 (12 points, annuelle)</t>
        </is>
      </c>
      <c r="L37" s="5" t="inlineStr">
        <is>
          <t>resultat</t>
        </is>
      </c>
      <c r="M37" s="5" t="inlineStr">
        <is>
          <t>non</t>
        </is>
      </c>
      <c r="N37" s="5" t="inlineStr">
        <is>
          <t>non</t>
        </is>
      </c>
      <c r="O37" s="5" t="inlineStr">
        <is>
          <t>non</t>
        </is>
      </c>
      <c r="P37" s="5" t="inlineStr">
        <is>
          <t>non</t>
        </is>
      </c>
      <c r="Q37" s="5" t="inlineStr">
        <is>
          <t>retenir_variante</t>
        </is>
      </c>
      <c r="R37" s="5" t="inlineStr">
        <is>
          <t>Indicateur de la cible européenne d'au moins 96 % en 2030, annuel de 2013 à 2024 (12 points), au plafond en France (100 % chaque année sauf 99,3 % en 2014) : concept distinct de l'accueil des moins de 3 ans (famille de fait distincte), gardé en variante faute de pouvoir discriminer les années (D34).</t>
        </is>
      </c>
      <c r="S37" s="5" t="inlineStr">
        <is>
          <t>retenu</t>
        </is>
      </c>
      <c r="T37" s="7" t="inlineStr"/>
      <c r="U37" s="7" t="inlineStr"/>
    </row>
    <row r="38" ht="60" customHeight="1">
      <c r="A38" s="5" t="inlineStr">
        <is>
          <t>recherche et innovation</t>
        </is>
      </c>
      <c r="B38" s="5" t="inlineStr">
        <is>
          <t>demandes_brevets</t>
        </is>
      </c>
      <c r="C38" s="6" t="inlineStr">
        <is>
          <t>demandes_brevets</t>
        </is>
      </c>
      <c r="D38" s="5" t="inlineStr">
        <is>
          <t>Demandes de brevets européens par million d'habitants</t>
        </is>
      </c>
      <c r="E38" s="5" t="inlineStr">
        <is>
          <t>oui</t>
        </is>
      </c>
      <c r="F38" s="5" t="inlineStr">
        <is>
          <t>Nombre de demandes de brevets déposées auprès de l'Office européen des brevets par des déposants résidant en France, rapporté à la population (Eurostat, indicateur ODD sdg_09_40).</t>
        </is>
      </c>
      <c r="G38" s="5" t="inlineStr">
        <is>
          <t>haut</t>
        </is>
      </c>
      <c r="H38" s="5" t="inlineStr">
        <is>
          <t>demandes par million d'habitants</t>
        </is>
      </c>
      <c r="I38" s="5" t="inlineStr">
        <is>
          <t>Eurostat — sdg_09_40 (indicateur ODD 9), pays du déposant</t>
        </is>
      </c>
      <c r="J38" s="5" t="inlineStr">
        <is>
          <t>sdg_09_40?freq=A&amp;coop_ptn=APPL&amp;unit=P_MHAB&amp;geo=FR</t>
        </is>
      </c>
      <c r="K38" s="5" t="inlineStr">
        <is>
          <t>2004-2025 (22 points, annuelle)</t>
        </is>
      </c>
      <c r="L38" s="5" t="inlineStr">
        <is>
          <t>resultat</t>
        </is>
      </c>
      <c r="M38" s="5" t="inlineStr">
        <is>
          <t>non</t>
        </is>
      </c>
      <c r="N38" s="5" t="inlineStr">
        <is>
          <t>non</t>
        </is>
      </c>
      <c r="O38" s="5" t="inlineStr">
        <is>
          <t>non</t>
        </is>
      </c>
      <c r="P38" s="5" t="inlineStr">
        <is>
          <t>non</t>
        </is>
      </c>
      <c r="Q38" s="5" t="inlineStr">
        <is>
          <t>retenir</t>
        </is>
      </c>
      <c r="R38" s="5" t="inlineStr">
        <is>
          <t>Seule mesure de résultat de la recherche au catalogue, indicateur ODD 9 d'Eurostat, annuelle de 2004 à 2025 (22 points ; 129,2 en 2004, 158,7 en 2025, provisoire).</t>
        </is>
      </c>
      <c r="S38" s="5" t="inlineStr">
        <is>
          <t>retenu</t>
        </is>
      </c>
      <c r="T38" s="7" t="inlineStr"/>
      <c r="U38" s="7" t="inlineStr"/>
    </row>
    <row r="39" ht="60" customHeight="1">
      <c r="A39" s="5" t="inlineStr">
        <is>
          <t>recherche et innovation</t>
        </is>
      </c>
      <c r="B39" s="5" t="inlineStr">
        <is>
          <t>effort_recherche</t>
        </is>
      </c>
      <c r="C39" s="6" t="inlineStr">
        <is>
          <t>effort_recherche_pib</t>
        </is>
      </c>
      <c r="D39" s="5" t="inlineStr">
        <is>
          <t>Effort de recherche : dépense intérieure de R&amp;D en % du PIB</t>
        </is>
      </c>
      <c r="E39" s="5" t="inlineStr">
        <is>
          <t>oui</t>
        </is>
      </c>
      <c r="F39" s="5" t="inlineStr">
        <is>
          <t>Dépense intérieure de recherche et développement (DIRD, exécutée sur le territoire par les entreprises et les administrations) rapportée au PIB (INSEE, indicateur de richesse nationale n° 2 et ODD 9, d'après le …</t>
        </is>
      </c>
      <c r="G39" s="5" t="inlineStr">
        <is>
          <t>haut</t>
        </is>
      </c>
      <c r="H39" s="5" t="inlineStr">
        <is>
          <t>% du PIB</t>
        </is>
      </c>
      <c r="I39" s="5" t="inlineStr">
        <is>
          <t>INSEE — BDM, indicateurs de richesse nationale et ODD 9.i5a (DIRD/PIB)</t>
        </is>
      </c>
      <c r="J39" s="5" t="inlineStr">
        <is>
          <t>010594852</t>
        </is>
      </c>
      <c r="K39" s="5" t="inlineStr">
        <is>
          <t>1996-2024 (25 points, annuelle)</t>
        </is>
      </c>
      <c r="L39" s="5" t="inlineStr">
        <is>
          <t>moyen</t>
        </is>
      </c>
      <c r="M39" s="5" t="inlineStr">
        <is>
          <t>non</t>
        </is>
      </c>
      <c r="N39" s="5" t="inlineStr">
        <is>
          <t>non</t>
        </is>
      </c>
      <c r="O39" s="5" t="inlineStr">
        <is>
          <t>non</t>
        </is>
      </c>
      <c r="P39" s="5" t="inlineStr">
        <is>
          <t>oui</t>
        </is>
      </c>
      <c r="Q39" s="5" t="inlineStr">
        <is>
          <t>retenir</t>
        </is>
      </c>
      <c r="R39" s="5" t="inlineStr">
        <is>
          <t>Effort de R&amp;D rattaché à la dimension par l'arbitrage A5 (D25), indicateur de richesse nationale doté de l'objectif européen de 3 % du PIB, annuel de 1996 à 2024 (25 points depuis 2000 ; 2,18 % en 2024, valeur estimée).</t>
        </is>
      </c>
      <c r="S39" s="5" t="inlineStr">
        <is>
          <t>retenu_socle</t>
        </is>
      </c>
      <c r="T39" s="7" t="inlineStr"/>
      <c r="U39" s="7" t="inlineStr"/>
    </row>
    <row r="40" ht="60" customHeight="1">
      <c r="A40" s="5" t="inlineStr">
        <is>
          <t>recherche et innovation</t>
        </is>
      </c>
      <c r="B40" s="5" t="inlineStr">
        <is>
          <t>effort_recherche</t>
        </is>
      </c>
      <c r="C40" s="5" t="inlineStr">
        <is>
          <t>personnel_recherche</t>
        </is>
      </c>
      <c r="D40" s="5" t="inlineStr">
        <is>
          <t>Personnel de R&amp;D en % de la population active (équivalent temps plein)</t>
        </is>
      </c>
      <c r="E40" s="5" t="inlineStr">
        <is>
          <t>non</t>
        </is>
      </c>
      <c r="F40" s="5" t="inlineStr">
        <is>
          <t>Personnel de recherche et développement (chercheurs et personnel de soutien) en équivalents temps plein, rapporté à la population active (Eurostat, indicateur ODD sdg_09_30).</t>
        </is>
      </c>
      <c r="G40" s="5" t="inlineStr">
        <is>
          <t>haut</t>
        </is>
      </c>
      <c r="H40" s="5" t="inlineStr">
        <is>
          <t>% de la population active (ETP)</t>
        </is>
      </c>
      <c r="I40" s="5" t="inlineStr">
        <is>
          <t>Eurostat — sdg_09_30 (indicateur ODD 9), tous secteurs d'exécution</t>
        </is>
      </c>
      <c r="J40" s="5" t="inlineStr">
        <is>
          <t>sdg_09_30?freq=A&amp;sex=T&amp;prof_pos=TOTAL&amp;sectperf=TOTAL&amp;unit=PC_ACT_FTE&amp;geo=FR</t>
        </is>
      </c>
      <c r="K40" s="5" t="inlineStr">
        <is>
          <t>2003-2024 (22 points, annuelle)</t>
        </is>
      </c>
      <c r="L40" s="5" t="inlineStr">
        <is>
          <t>moyen</t>
        </is>
      </c>
      <c r="M40" s="5" t="inlineStr">
        <is>
          <t>non</t>
        </is>
      </c>
      <c r="N40" s="5" t="inlineStr">
        <is>
          <t>non</t>
        </is>
      </c>
      <c r="O40" s="5" t="inlineStr">
        <is>
          <t>non</t>
        </is>
      </c>
      <c r="P40" s="5" t="inlineStr">
        <is>
          <t>non</t>
        </is>
      </c>
      <c r="Q40" s="5" t="inlineStr">
        <is>
          <t>retenir_variante</t>
        </is>
      </c>
      <c r="R40" s="5" t="inlineStr">
        <is>
          <t>Autre mesure de l'effort de recherche (moyens humains), annuelle de 2003 à 2024 (22 points ; 1,24 % en 2003, 1,72 % en 2024).</t>
        </is>
      </c>
      <c r="S40" s="5" t="inlineStr">
        <is>
          <t>retenu</t>
        </is>
      </c>
      <c r="T40" s="7" t="inlineStr"/>
      <c r="U40" s="7" t="inlineStr"/>
    </row>
  </sheetData>
  <autoFilter ref="A1:U40"/>
  <conditionalFormatting sqref="A2:U40">
    <cfRule type="expression" priority="1" dxfId="0">
      <formula>$T2&lt;&gt;""</formula>
    </cfRule>
  </conditionalFormatting>
  <dataValidations count="1">
    <dataValidation sqref="T2:T40" showDropDown="0" showInputMessage="0" showErrorMessage="1" allowBlank="1" errorTitle="Valeur non admise" error="Choisissez une valeur dans la liste : retenu, retenu_socle, ecarte, a_discuter" type="list">
      <formula1>"retenu,retenu_socle,ecarte,a_discuter"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40" customWidth="1" min="1" max="1"/>
    <col width="18" customWidth="1" min="2" max="2"/>
    <col width="22" customWidth="1" min="3" max="3"/>
    <col width="30" customWidth="1" min="4" max="4"/>
  </cols>
  <sheetData>
    <row r="1">
      <c r="A1" s="8" t="inlineStr">
        <is>
          <t>Dimension</t>
        </is>
      </c>
      <c r="B1" s="9" t="inlineStr">
        <is>
          <t>Éducation et compétences</t>
        </is>
      </c>
    </row>
    <row r="2">
      <c r="A2" s="8" t="inlineStr">
        <is>
          <t>Indicateurs candidats (fiches)</t>
        </is>
      </c>
      <c r="B2" s="9">
        <f>COUNTA(Validation!$C$2:$C$40)</f>
        <v/>
      </c>
    </row>
    <row r="3">
      <c r="A3" s="8" t="inlineStr">
        <is>
          <t>Familles distinctes</t>
        </is>
      </c>
      <c r="B3" s="9">
        <f>SUMPRODUCT((Validation!$B$2:$B$40&lt;&gt;"")/COUNTIF(Validation!$B$2:$B$40,Validation!$B$2:$B$40&amp;""))</f>
        <v/>
      </c>
    </row>
    <row r="4">
      <c r="A4" s="9" t="inlineStr"/>
      <c r="B4" s="9" t="inlineStr"/>
    </row>
    <row r="5">
      <c r="A5" s="8" t="inlineStr">
        <is>
          <t>Recommandations de l'agent</t>
        </is>
      </c>
      <c r="B5" s="9" t="inlineStr"/>
    </row>
    <row r="6">
      <c r="A6" s="9" t="inlineStr">
        <is>
          <t xml:space="preserve">  retenir</t>
        </is>
      </c>
      <c r="B6" s="9">
        <f>COUNTIF(Validation!$Q$2:$Q$40,"retenir")</f>
        <v/>
      </c>
    </row>
    <row r="7">
      <c r="A7" s="9" t="inlineStr">
        <is>
          <t xml:space="preserve">  retenir_variante</t>
        </is>
      </c>
      <c r="B7" s="9">
        <f>COUNTIF(Validation!$Q$2:$Q$40,"retenir_variante")</f>
        <v/>
      </c>
    </row>
    <row r="8">
      <c r="A8" s="9" t="inlineStr">
        <is>
          <t xml:space="preserve">  ecarter</t>
        </is>
      </c>
      <c r="B8" s="9">
        <f>COUNTIF(Validation!$Q$2:$Q$40,"ecarter")</f>
        <v/>
      </c>
    </row>
    <row r="9">
      <c r="A9" s="9" t="inlineStr"/>
      <c r="B9" s="9" t="inlineStr"/>
    </row>
    <row r="10">
      <c r="A10" s="8" t="inlineStr">
        <is>
          <t>Socle proposé par l'agent (D41)</t>
        </is>
      </c>
      <c r="B10" s="9">
        <f>COUNTIF(Validation!$P$2:$P$40,"oui")</f>
        <v/>
      </c>
    </row>
    <row r="11">
      <c r="A11" s="9" t="inlineStr"/>
      <c r="B11" s="9" t="inlineStr"/>
    </row>
    <row r="12">
      <c r="A12" s="8" t="inlineStr">
        <is>
          <t>Décisions par défaut</t>
        </is>
      </c>
      <c r="B12" s="9" t="inlineStr"/>
    </row>
    <row r="13">
      <c r="A13" s="9" t="inlineStr">
        <is>
          <t xml:space="preserve">  retenu_socle</t>
        </is>
      </c>
      <c r="B13" s="9">
        <f>COUNTIF(Validation!$S$2:$S$40,"retenu_socle")</f>
        <v/>
      </c>
    </row>
    <row r="14">
      <c r="A14" s="9" t="inlineStr">
        <is>
          <t xml:space="preserve">  retenu</t>
        </is>
      </c>
      <c r="B14" s="9">
        <f>COUNTIF(Validation!$S$2:$S$40,"retenu")</f>
        <v/>
      </c>
    </row>
    <row r="15">
      <c r="A15" s="9" t="inlineStr">
        <is>
          <t xml:space="preserve">  ecarte</t>
        </is>
      </c>
      <c r="B15" s="9">
        <f>COUNTIF(Validation!$S$2:$S$40,"ecarte")</f>
        <v/>
      </c>
    </row>
    <row r="16">
      <c r="A16" s="9" t="inlineStr">
        <is>
          <t xml:space="preserve">  a_discuter</t>
        </is>
      </c>
      <c r="B16" s="9">
        <f>COUNTIF(Validation!$S$2:$S$40,"a_discuter")</f>
        <v/>
      </c>
    </row>
    <row r="17">
      <c r="A17" s="9" t="inlineStr"/>
      <c r="B17" s="9" t="inlineStr"/>
    </row>
    <row r="18">
      <c r="A18" s="8" t="inlineStr">
        <is>
          <t>Vos décisions saisies (exceptions)</t>
        </is>
      </c>
      <c r="B18" s="9">
        <f>COUNTA(Validation!$T$2:$T$40)</f>
        <v/>
      </c>
    </row>
    <row r="19">
      <c r="A19" s="9" t="inlineStr">
        <is>
          <t xml:space="preserve">  dont retenu_socle</t>
        </is>
      </c>
      <c r="B19" s="9">
        <f>COUNTIF(Validation!$T$2:$T$40,"retenu_socle")</f>
        <v/>
      </c>
    </row>
    <row r="20">
      <c r="A20" s="9" t="inlineStr">
        <is>
          <t xml:space="preserve">  dont retenu</t>
        </is>
      </c>
      <c r="B20" s="9">
        <f>COUNTIF(Validation!$T$2:$T$40,"retenu")</f>
        <v/>
      </c>
    </row>
    <row r="21">
      <c r="A21" s="9" t="inlineStr">
        <is>
          <t xml:space="preserve">  dont ecarte</t>
        </is>
      </c>
      <c r="B21" s="9">
        <f>COUNTIF(Validation!$T$2:$T$40,"ecarte")</f>
        <v/>
      </c>
    </row>
    <row r="22">
      <c r="A22" s="9" t="inlineStr">
        <is>
          <t xml:space="preserve">  dont a_discuter</t>
        </is>
      </c>
      <c r="B22" s="9">
        <f>COUNTIF(Validation!$T$2:$T$40,"a_discuter")</f>
        <v/>
      </c>
    </row>
    <row r="24">
      <c r="A24" s="8" t="inlineStr">
        <is>
          <t>Socle par sous-thème (D41)</t>
        </is>
      </c>
      <c r="B24" s="8" t="inlineStr">
        <is>
          <t>Fiches</t>
        </is>
      </c>
      <c r="C24" s="8" t="inlineStr">
        <is>
          <t>retenu_socle par défaut</t>
        </is>
      </c>
      <c r="D24" s="8" t="inlineStr">
        <is>
          <t>retenu_socle après vos décisions</t>
        </is>
      </c>
    </row>
    <row r="25">
      <c r="A25" s="9" t="inlineStr">
        <is>
          <t>compétences des adultes</t>
        </is>
      </c>
      <c r="B25" s="9">
        <f>COUNTIF(Validation!$A$2:$A$40,$A25)</f>
        <v/>
      </c>
      <c r="C25" s="9">
        <f>COUNTIFS(Validation!$A$2:$A$40,$A25,Validation!$S$2:$S$40,"retenu_socle")</f>
        <v/>
      </c>
      <c r="D25" s="9">
        <f>SUMPRODUCT((Validation!$A$2:$A$40=$A25)*(((Validation!$T$2:$T$40="")*(Validation!$S$2:$S$40="retenu_socle"))+(Validation!$T$2:$T$40="retenu_socle")))</f>
        <v/>
      </c>
    </row>
    <row r="26">
      <c r="A26" s="9" t="inlineStr">
        <is>
          <t>compétences des élèves</t>
        </is>
      </c>
      <c r="B26" s="9">
        <f>COUNTIF(Validation!$A$2:$A$40,$A26)</f>
        <v/>
      </c>
      <c r="C26" s="9">
        <f>COUNTIFS(Validation!$A$2:$A$40,$A26,Validation!$S$2:$S$40,"retenu_socle")</f>
        <v/>
      </c>
      <c r="D26" s="9">
        <f>SUMPRODUCT((Validation!$A$2:$A$40=$A26)*(((Validation!$T$2:$T$40="")*(Validation!$S$2:$S$40="retenu_socle"))+(Validation!$T$2:$T$40="retenu_socle")))</f>
        <v/>
      </c>
    </row>
    <row r="27">
      <c r="A27" s="9" t="inlineStr">
        <is>
          <t>compétences numériques</t>
        </is>
      </c>
      <c r="B27" s="9">
        <f>COUNTIF(Validation!$A$2:$A$40,$A27)</f>
        <v/>
      </c>
      <c r="C27" s="9">
        <f>COUNTIFS(Validation!$A$2:$A$40,$A27,Validation!$S$2:$S$40,"retenu_socle")</f>
        <v/>
      </c>
      <c r="D27" s="9">
        <f>SUMPRODUCT((Validation!$A$2:$A$40=$A27)*(((Validation!$T$2:$T$40="")*(Validation!$S$2:$S$40="retenu_socle"))+(Validation!$T$2:$T$40="retenu_socle")))</f>
        <v/>
      </c>
    </row>
    <row r="28">
      <c r="A28" s="9" t="inlineStr">
        <is>
          <t>diplômes et sorties précoces</t>
        </is>
      </c>
      <c r="B28" s="9">
        <f>COUNTIF(Validation!$A$2:$A$40,$A28)</f>
        <v/>
      </c>
      <c r="C28" s="9">
        <f>COUNTIFS(Validation!$A$2:$A$40,$A28,Validation!$S$2:$S$40,"retenu_socle")</f>
        <v/>
      </c>
      <c r="D28" s="9">
        <f>SUMPRODUCT((Validation!$A$2:$A$40=$A28)*(((Validation!$T$2:$T$40="")*(Validation!$S$2:$S$40="retenu_socle"))+(Validation!$T$2:$T$40="retenu_socle")))</f>
        <v/>
      </c>
    </row>
    <row r="29">
      <c r="A29" s="9" t="inlineStr">
        <is>
          <t>formation des adultes</t>
        </is>
      </c>
      <c r="B29" s="9">
        <f>COUNTIF(Validation!$A$2:$A$40,$A29)</f>
        <v/>
      </c>
      <c r="C29" s="9">
        <f>COUNTIFS(Validation!$A$2:$A$40,$A29,Validation!$S$2:$S$40,"retenu_socle")</f>
        <v/>
      </c>
      <c r="D29" s="9">
        <f>SUMPRODUCT((Validation!$A$2:$A$40=$A29)*(((Validation!$T$2:$T$40="")*(Validation!$S$2:$S$40="retenu_socle"))+(Validation!$T$2:$T$40="retenu_socle")))</f>
        <v/>
      </c>
    </row>
    <row r="30">
      <c r="A30" s="9" t="inlineStr">
        <is>
          <t>moyens</t>
        </is>
      </c>
      <c r="B30" s="9">
        <f>COUNTIF(Validation!$A$2:$A$40,$A30)</f>
        <v/>
      </c>
      <c r="C30" s="9">
        <f>COUNTIFS(Validation!$A$2:$A$40,$A30,Validation!$S$2:$S$40,"retenu_socle")</f>
        <v/>
      </c>
      <c r="D30" s="9">
        <f>SUMPRODUCT((Validation!$A$2:$A$40=$A30)*(((Validation!$T$2:$T$40="")*(Validation!$S$2:$S$40="retenu_socle"))+(Validation!$T$2:$T$40="retenu_socle")))</f>
        <v/>
      </c>
    </row>
    <row r="31">
      <c r="A31" s="9" t="inlineStr">
        <is>
          <t>petite enfance</t>
        </is>
      </c>
      <c r="B31" s="9">
        <f>COUNTIF(Validation!$A$2:$A$40,$A31)</f>
        <v/>
      </c>
      <c r="C31" s="9">
        <f>COUNTIFS(Validation!$A$2:$A$40,$A31,Validation!$S$2:$S$40,"retenu_socle")</f>
        <v/>
      </c>
      <c r="D31" s="9">
        <f>SUMPRODUCT((Validation!$A$2:$A$40=$A31)*(((Validation!$T$2:$T$40="")*(Validation!$S$2:$S$40="retenu_socle"))+(Validation!$T$2:$T$40="retenu_socle")))</f>
        <v/>
      </c>
    </row>
    <row r="32">
      <c r="A32" s="9" t="inlineStr">
        <is>
          <t>recherche et innovation</t>
        </is>
      </c>
      <c r="B32" s="9">
        <f>COUNTIF(Validation!$A$2:$A$40,$A32)</f>
        <v/>
      </c>
      <c r="C32" s="9">
        <f>COUNTIFS(Validation!$A$2:$A$40,$A32,Validation!$S$2:$S$40,"retenu_socle")</f>
        <v/>
      </c>
      <c r="D32" s="9">
        <f>SUMPRODUCT((Validation!$A$2:$A$40=$A32)*(((Validation!$T$2:$T$40="")*(Validation!$S$2:$S$40="retenu_socle"))+(Validation!$T$2:$T$40="retenu_socle")))</f>
        <v/>
      </c>
    </row>
    <row r="33">
      <c r="A33" s="8" t="inlineStr">
        <is>
          <t>Total</t>
        </is>
      </c>
      <c r="B33" s="8">
        <f>SUM(B25:B32)</f>
        <v/>
      </c>
      <c r="C33" s="8">
        <f>SUM(C25:C32)</f>
        <v/>
      </c>
      <c r="D33" s="8">
        <f>SUM(D25:D32)</f>
        <v/>
      </c>
    </row>
    <row r="35">
      <c r="A35" s="10" t="inlineStr">
        <is>
          <t>Les comptes se recalculent à l'ouverture dans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2026-10-17T10:47:39Z</dcterms:created>
  <dcterms:modified xmlns:dcterms="http://purl.org/dc/terms/" xmlns:xsi="http://www.w3.org/2001/XMLSchema-instance" xsi:type="dcterms:W3CDTF">2026-10-17T10:47:39Z</dcterms:modified>
</cp:coreProperties>
</file>