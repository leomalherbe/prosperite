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Validation" sheetId="2" state="visible" r:id="rId4"/>
    <sheet name="Synthèse" sheetId="3" state="visible" r:id="rId5"/>
  </sheets>
  <definedNames>
    <definedName function="false" hidden="true" localSheetId="1" name="_xlnm._FilterDatabase" vbProcedure="false">Validation!$A$1:$S$36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R1" authorId="0">
      <text>
        <r>
          <rPr>
            <sz val="10"/>
            <rFont val="Arial"/>
            <family val="2"/>
          </rPr>
          <t xml:space="preserve">À remplir seulement si vous divergez de la décision par défaut. Liste : retenu, retenu_socle, ecarte, a_discuter.</t>
        </r>
      </text>
    </comment>
  </commentList>
</comments>
</file>

<file path=xl/sharedStrings.xml><?xml version="1.0" encoding="utf-8"?>
<sst xmlns="http://schemas.openxmlformats.org/spreadsheetml/2006/main" count="651" uniqueCount="316">
  <si>
    <t xml:space="preserve">Gel 2 — validation des indicateurs de la dimension « Démocratie et institutions »</t>
  </si>
  <si>
    <t xml:space="preserve">Comment remplir ce classeur (validation par exception, charte §3.6, décision D20)</t>
  </si>
  <si>
    <t xml:space="preserve">1. Ouvrez l'onglet « Validation ». Chaque ligne est un indicateur candidat (une fiche YAML dans le dépôt), regroupé par famille ; la variante principale de chaque famille est en tête.</t>
  </si>
  <si>
    <t xml:space="preserve">2. Les colonnes grises sont informatives. La colonne « Recommandation de l'agent » et son motif résument l'analyse ; la colonne « Décision par défaut » indique ce qui s'appliquera si vous ne remplissez rien.</t>
  </si>
  <si>
    <t xml:space="preserve">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</si>
  <si>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</si>
  <si>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</si>
  <si>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</si>
  <si>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</si>
  <si>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 xml:space="preserve">4. Le commentaire est libre ; il est lu et conservé dans la fiche.</t>
  </si>
  <si>
    <t xml:space="preserve">5. Enregistrez le fichier au même endroit, sous le même nom : la session mère le relit automatiquement.</t>
  </si>
  <si>
    <t xml:space="preserve">Rappels</t>
  </si>
  <si>
    <t xml:space="preserve">— Une famille regroupe des variantes d'un même concept (autre seuil, autre source, ventilation) : en général une seule variante est cochée par défaut.</t>
  </si>
  <si>
    <t xml:space="preserve">— « Incontournable » = présent dans au moins trois cadres de référence (Doughnut, Stiglitz-Sen-Fitoussi, OCDE, Eurostat, INSEE).</t>
  </si>
  <si>
    <t xml:space="preserve">— « Déclaratif » = donnée d'enquête d'opinion ou de ressenti ; « Composite » = indice agrégé d'un producteur tiers (V-Dem, CPI…).</t>
  </si>
  <si>
    <t xml:space="preserve">— Sens « ambigu » : l'agent n'a pas pu établir si plus haut est mieux ; ces lignes sont écartées par défaut.</t>
  </si>
  <si>
    <t xml:space="preserve">— Les bornes (seuil minimal, objectif) ne sont pas traitées ici : elles viendront après le gel 2 (socle v1).</t>
  </si>
  <si>
    <t xml:space="preserve">Exemple de ligne remplie : décision « ecarte », commentaire « doublon de la série INSEE équivalente ; garder la variante INSEE ».</t>
  </si>
  <si>
    <t xml:space="preserve">Famille</t>
  </si>
  <si>
    <t xml:space="preserve">Identifiant</t>
  </si>
  <si>
    <t xml:space="preserve">Libellé</t>
  </si>
  <si>
    <t xml:space="preserve">Variante principale</t>
  </si>
  <si>
    <t xml:space="preserve">Définition courte</t>
  </si>
  <si>
    <t xml:space="preserve">Sens</t>
  </si>
  <si>
    <t xml:space="preserve">Unité</t>
  </si>
  <si>
    <t xml:space="preserve">Source</t>
  </si>
  <si>
    <t xml:space="preserve">Série (identifiant)</t>
  </si>
  <si>
    <t xml:space="preserve">Période</t>
  </si>
  <si>
    <t xml:space="preserve">Type</t>
  </si>
  <si>
    <t xml:space="preserve">Déclaratif</t>
  </si>
  <si>
    <t xml:space="preserve">Composite</t>
  </si>
  <si>
    <t xml:space="preserve">Incontournable</t>
  </si>
  <si>
    <t xml:space="preserve">Recommandation de l'agent</t>
  </si>
  <si>
    <t xml:space="preserve">Motif de la recommandation</t>
  </si>
  <si>
    <t xml:space="preserve">Décision par défaut (si vous ne remplissez rien)</t>
  </si>
  <si>
    <t xml:space="preserve">Votre décision (liste déroulante)</t>
  </si>
  <si>
    <t xml:space="preserve">Votre commentaire</t>
  </si>
  <si>
    <t xml:space="preserve">adhesion_syndicale</t>
  </si>
  <si>
    <t xml:space="preserve">Part des personnes membres d'une organisation syndicale</t>
  </si>
  <si>
    <t xml:space="preserve">oui</t>
  </si>
  <si>
    <t xml:space="preserve">Part des personnes interrogées par le baromètre d'opinion de la DREES qui déclarent être membres d'une organisation syndicale (question SDASSYND_1 : « Vous personnellement, êtes-vous membre d'une organisation syndicale …</t>
  </si>
  <si>
    <t xml:space="preserve">haut</t>
  </si>
  <si>
    <t xml:space="preserve">% des répondants</t>
  </si>
  <si>
    <t xml:space="preserve">DREES — Baromètre d'opinion de la DREES (data.drees, jeu 431_le-barometre-d-opinion), microdonnées pondérées</t>
  </si>
  <si>
    <t xml:space="preserve">data.drees.solidarites-sante.gouv.fr, jeu 431_le-barometre-d-opinion, pièce jointe barometre2000_2025_diff_csv ; variable SDASSYND_1, modalité 1</t>
  </si>
  <si>
    <t xml:space="preserve">2000-2025 (25 points, annuelle)</t>
  </si>
  <si>
    <t xml:space="preserve">resultat</t>
  </si>
  <si>
    <t xml:space="preserve">non</t>
  </si>
  <si>
    <t xml:space="preserve">retenir</t>
  </si>
  <si>
    <t xml:space="preserve">Seule mesure publique et annuelle de l'adhésion syndicale depuis 2000 (25 années sur 2000-2025, de 8,06 % en 2000 à 6,81 % en 2025), candidat de la dimension (D33), calculée par le robot sans valeur officielle publiée pour la recouper (D34).</t>
  </si>
  <si>
    <t xml:space="preserve">retenu</t>
  </si>
  <si>
    <t xml:space="preserve">citoyennete_active</t>
  </si>
  <si>
    <t xml:space="preserve">Participation à des activités de citoyenneté active</t>
  </si>
  <si>
    <t xml:space="preserve">Part des personnes de 16 ans ou plus déclarant des activités de citoyenneté active (modalité AC43A « citoyenneté active » du jeu Eurostat ilc_scp19, modules EU-SILC de 2015 et 2022) ; liste exacte des activités …</t>
  </si>
  <si>
    <t xml:space="preserve">% des 16 ans ou plus</t>
  </si>
  <si>
    <t xml:space="preserve">Eurostat — ilc_scp19 (EU-SILC, participation citoyenne et bénévolat)</t>
  </si>
  <si>
    <t xml:space="preserve">ilc_scp19?freq=A&amp;acl00=AC43A&amp;isced11=TOTAL&amp;age=Y_GE16&amp;sex=T&amp;unit=PC&amp;geo=FR</t>
  </si>
  <si>
    <t xml:space="preserve">2015-2022 (2 points, irreguliere)</t>
  </si>
  <si>
    <t xml:space="preserve">Seule mesure de la participation politique hors élections, indicateur de citoyenneté active du cadre Eurostat QoL, mesurée en 2015 (24,8 %) et 2022 (11,9 %) et admise comme série irrégulière (D17).</t>
  </si>
  <si>
    <t xml:space="preserve">retenu_socle</t>
  </si>
  <si>
    <t xml:space="preserve">confiance_administration</t>
  </si>
  <si>
    <t xml:space="preserve">Confiance dans l'administration</t>
  </si>
  <si>
    <t xml:space="preserve">Part des personnes déclarant avoir confiance dans l'administration (fonction publique), d'après les enquêtes sur les valeurs (World Values Survey et European Values Study) relayées par Our World in Data (graphique …</t>
  </si>
  <si>
    <t xml:space="preserve">WVS/EVS (relais Our World in Data) — Graphique OWID trust-state-institutions-wvs</t>
  </si>
  <si>
    <t xml:space="preserve">https://ourworldindata.org/grapher/trust-state-institutions-wvs.csv (colonne confidence_civil_services)</t>
  </si>
  <si>
    <t xml:space="preserve">1984-2022 (3 points, irreguliere)</t>
  </si>
  <si>
    <t xml:space="preserve">Seule mesure de la confiance dans l'administration, institution du contenu de la dimension, avec trois vagues des enquêtes sur les valeurs depuis 2000 (52,6 % en 2022), admise comme série irrégulière (D17).</t>
  </si>
  <si>
    <t xml:space="preserve">confiance_armee</t>
  </si>
  <si>
    <t xml:space="preserve">Confiance dans l'armée</t>
  </si>
  <si>
    <t xml:space="preserve">Part des personnes de 18 ans ou plus déclarant avoir « très confiance » ou « plutôt confiance » dans l'armée (question Q25 du baromètre de la confiance politique du Cevipof, environ 3 500 personnes inscrites sur les …</t>
  </si>
  <si>
    <t xml:space="preserve">% des 18 ans ou plus</t>
  </si>
  <si>
    <t xml:space="preserve">INSEE (données du Cevipof, Sciences Po-CNRS) — BDM, ODD-PAIX-JUSTICE-INSTITUTIONS-EFFICACES, indicateur national ODD 16.i4</t>
  </si>
  <si>
    <t xml:space="preserve">010596050</t>
  </si>
  <si>
    <t xml:space="preserve">2013-2024 (12 points, annuelle)</t>
  </si>
  <si>
    <t xml:space="preserve">Confiance dans une institution régalienne retenue par l'INSEE pour l'ODD 16.i4, série annuelle de 2013 à 2024 (12 points, de 72 % à 83 %).</t>
  </si>
  <si>
    <t xml:space="preserve">confiance_ecole</t>
  </si>
  <si>
    <t xml:space="preserve">Confiance dans l'école</t>
  </si>
  <si>
    <t xml:space="preserve">Part des personnes de 18 ans ou plus déclarant avoir « très confiance » ou « plutôt confiance » dans l'école (question Q25 du baromètre de la confiance politique du Cevipof, environ 3 500 personnes inscrites sur les …</t>
  </si>
  <si>
    <t xml:space="preserve">010596053</t>
  </si>
  <si>
    <t xml:space="preserve">Confiance dans une institution sociale de l'État retenue par l'INSEE pour l'ODD 16.i4 et rattachée ici par A11 et R5, série annuelle de 2013 à 2024 (12 points, de 65 % à 74 %).</t>
  </si>
  <si>
    <t xml:space="preserve">confiance_gouvernement</t>
  </si>
  <si>
    <t xml:space="preserve">Confiance dans le gouvernement national</t>
  </si>
  <si>
    <t xml:space="preserve">Part des personnes de 15 ans ou plus déclarant avoir confiance dans le gouvernement national (Gallup World Poll, environ 1 000 personnes par an, moyennes sur deux ou trois ans répétées chaque année ; base How's Life de …</t>
  </si>
  <si>
    <t xml:space="preserve">% des 15 ans ou plus</t>
  </si>
  <si>
    <t xml:space="preserve">OCDE (relais du Gallup World Poll) — How's Life? — bien-être futur (DSD_HSL@DF_HSL_FWB), mesure 14_3</t>
  </si>
  <si>
    <t xml:space="preserve">OECD.WISE.WDP,DSD_HSL@DF_HSL_FWB,1.1 MEASURE=14_3 UNIT_MEASURE=PT_POP_Y_GE15</t>
  </si>
  <si>
    <t xml:space="preserve">2006-2025 (7 points, irreguliere)</t>
  </si>
  <si>
    <t xml:space="preserve">Confiance dans le gouvernement nommée dans le contenu de la dimension et indicateur OCDE 14_3, 2006-2025 (37,3 % en 2025), mais 7 valeurs seulement (moyennes Gallup sur 2 à 3 ans) et licence de réutilisation non trouvée (D26).</t>
  </si>
  <si>
    <t xml:space="preserve">confiance_hopital</t>
  </si>
  <si>
    <t xml:space="preserve">Confiance dans l'hôpital</t>
  </si>
  <si>
    <t xml:space="preserve">Part des personnes de 18 ans ou plus déclarant avoir « très confiance » ou « plutôt confiance » dans l'hôpital (question Q25 du baromètre de la confiance politique du Cevipof, environ 3 500 personnes inscrites sur les …</t>
  </si>
  <si>
    <t xml:space="preserve">010596054</t>
  </si>
  <si>
    <t xml:space="preserve">Confiance dans une institution sociale de l'État retenue par l'INSEE pour l'ODD 16.i4 et rattachée ici par A11 et R5, série annuelle de 2013 à 2024 (12 points, de 76 % à 83 %).</t>
  </si>
  <si>
    <t xml:space="preserve">confiance_justice</t>
  </si>
  <si>
    <t xml:space="preserve">Confiance dans la justice</t>
  </si>
  <si>
    <t xml:space="preserve">Part des personnes de 18 ans ou plus déclarant avoir « très confiance » ou « plutôt confiance » dans la justice (question Q25 du baromètre de la confiance politique du Cevipof, environ 3 500 personnes inscrites sur les …</t>
  </si>
  <si>
    <t xml:space="preserve">010596052</t>
  </si>
  <si>
    <t xml:space="preserve">Confiance dans la justice nommée dans le contenu de la dimension (A11, R5), série annuelle de l'INSEE (ODD 16.i4, baromètre du Cevipof) de 2013 à 2024 (12 points, entre 44 % et 48 %).</t>
  </si>
  <si>
    <t xml:space="preserve">confiance_parlement</t>
  </si>
  <si>
    <t xml:space="preserve">Confiance dans le Parlement</t>
  </si>
  <si>
    <t xml:space="preserve">Part des personnes déclarant avoir confiance dans le Parlement, d'après les enquêtes sur les valeurs (World Values Survey et European Values Study) relayées par Our World in Data (graphique trust-state-institutions-wvs) …</t>
  </si>
  <si>
    <t xml:space="preserve">https://ourworldindata.org/grapher/trust-state-institutions-wvs.csv (colonne confidence_parliament)</t>
  </si>
  <si>
    <t xml:space="preserve">Seule mesure de la confiance dans le Parlement, nommé dans le contenu de la dimension, avec trois vagues des enquêtes sur les valeurs depuis 2000 (33,1 % en 2022), admise comme série irrégulière (D17).</t>
  </si>
  <si>
    <t xml:space="preserve">confiance_police</t>
  </si>
  <si>
    <t xml:space="preserve">Confiance dans la police</t>
  </si>
  <si>
    <t xml:space="preserve">Part des personnes de 18 ans ou plus déclarant avoir « très confiance » ou « plutôt confiance » dans la police (question Q25 du baromètre de la confiance politique du Cevipof, environ 3 500 personnes inscrites sur les …</t>
  </si>
  <si>
    <t xml:space="preserve">010596051</t>
  </si>
  <si>
    <t xml:space="preserve">Confiance dans la police nommée dans le contenu de la dimension (A11, R5), série annuelle de l'INSEE (ODD 16.i4, baromètre du Cevipof) de 2013 à 2024 (12 points, de 66 % en 2013 et 2020 à 78 % en 2017).</t>
  </si>
  <si>
    <t xml:space="preserve">corruption</t>
  </si>
  <si>
    <t xml:space="preserve">controle_corruption_wgi</t>
  </si>
  <si>
    <t xml:space="preserve">Contrôle de la corruption (indicateurs de gouvernance de la Banque mondiale)</t>
  </si>
  <si>
    <t xml:space="preserve">Indicateur composite « Control of Corruption » des WGI : perception de l'usage du pouvoir public à des fins privées, dont la corruption, agrégée à partir de sources d'experts et d'enquêtes ; score de gouvernance de 0 à …</t>
  </si>
  <si>
    <t xml:space="preserve">score de 0 à 100</t>
  </si>
  <si>
    <t xml:space="preserve">Banque mondiale (Worldwide Governance Indicators) — WGI (API v2 de la Banque mondiale, source 3), GOV_WGI_CC.SC (score de gouvernance 0-100)</t>
  </si>
  <si>
    <t xml:space="preserve">api.worldbank.org/v2/country/FRA/indicator/GOV_WGI_CC.SC?source=3</t>
  </si>
  <si>
    <t xml:space="preserve">1996-2025 (25 points, annuelle)</t>
  </si>
  <si>
    <t xml:space="preserve">Variante principale de la famille corruption (D35 ; méthode §4 : série la plus longue à niveau égal), score annuel depuis 1996 sauf 1997, 1999 et 2001 (25 points depuis 2000, 73,09 en 2025), quand l'indice de perception de la corruption n'est comparable que depuis 2012.</t>
  </si>
  <si>
    <t xml:space="preserve">perception_corruption_cpi</t>
  </si>
  <si>
    <t xml:space="preserve">Indice de perception de la corruption (Transparency International)</t>
  </si>
  <si>
    <t xml:space="preserve">Indice de perception de la corruption dans le secteur public établi par Transparency International en agrégeant des évaluations d'experts ; score de 0 à 100 (plus haut = moins de corruption perçue), comparable d'une …</t>
  </si>
  <si>
    <t xml:space="preserve">Eurostat (données Transparency International) — sdg_16_50 — Indice de perception de la corruption</t>
  </si>
  <si>
    <t xml:space="preserve">sdg_16_50?freq=A&amp;unit=SC&amp;geo=FR</t>
  </si>
  <si>
    <t xml:space="preserve">2012-2025 (14 points, annuelle)</t>
  </si>
  <si>
    <t xml:space="preserve">retenir_variante</t>
  </si>
  <si>
    <t xml:space="preserve">Indice de perception de la corruption par la voie Eurostat (niveau 1), annuel et comparable de 2012 à 2025 (14 points, de 71 en 2012 à 66 en 2025, maximum 72), en alternative à l'indicateur WGI, plus long, variante principale de la famille corruption (D35).</t>
  </si>
  <si>
    <t xml:space="preserve">depenses_tribunaux</t>
  </si>
  <si>
    <t xml:space="preserve">Dépenses publiques pour les tribunaux (euros par habitant)</t>
  </si>
  <si>
    <t xml:space="preserve">Dépenses totales des administrations publiques consacrées aux tribunaux, en euros courants par habitant ; indicateur ODD de l'UE sdg_16_30.</t>
  </si>
  <si>
    <t xml:space="preserve">euros courants par habitant</t>
  </si>
  <si>
    <t xml:space="preserve">Eurostat — sdg_16_30 — Dépenses totales des administrations publiques pour les tribunaux</t>
  </si>
  <si>
    <t xml:space="preserve">sdg_16_30?freq=A&amp;unit=EUR_HAB&amp;geo=FR</t>
  </si>
  <si>
    <t xml:space="preserve">2000-2024 (25 points, annuelle)</t>
  </si>
  <si>
    <t xml:space="preserve">moyen</t>
  </si>
  <si>
    <t xml:space="preserve">ecarter</t>
  </si>
  <si>
    <t xml:space="preserve">Moyen budgétaire (charte §3.4) exprimé en euros courants par habitant, donc gonflé par l'inflation (54,3 € en 2000, 120,6 € en 2024), sans cible officielle qui permettrait de fixer des bornes (D19).</t>
  </si>
  <si>
    <t xml:space="preserve">ecarte</t>
  </si>
  <si>
    <t xml:space="preserve">detention_provisoire</t>
  </si>
  <si>
    <t xml:space="preserve">Part des prévenus parmi les détenus</t>
  </si>
  <si>
    <t xml:space="preserve">Nombre de personnes détenues prévenues (poursuivies mais non encore jugées ou dont la condamnation n'est pas définitive) rapporté au nombre total de personnes détenues, au 31 décembre (au 30 août pour 2025) ; source : …</t>
  </si>
  <si>
    <t xml:space="preserve">bas</t>
  </si>
  <si>
    <t xml:space="preserve">% des détenus</t>
  </si>
  <si>
    <t xml:space="preserve">INSEE (données du ministère de la Justice) — BDM, ODD-PAIX-JUSTICE-INSTITUTIONS-EFFICACES, indicateur national ODD 16.i3</t>
  </si>
  <si>
    <t xml:space="preserve">010596049</t>
  </si>
  <si>
    <t xml:space="preserve">2010-2025 (16 points, annuelle)</t>
  </si>
  <si>
    <t xml:space="preserve">Indicateur ODD 16.3.2 (INSEE 16.i3) de l'usage de la détention avant jugement, annuel de 2010 à 2025 (16 points, de 24,7 % à 29,0 %), raccordable à 2008 par la même série d'Eurostat.</t>
  </si>
  <si>
    <t xml:space="preserve">etat_de_droit</t>
  </si>
  <si>
    <t xml:space="preserve">etat_de_droit_wgi</t>
  </si>
  <si>
    <t xml:space="preserve">État de droit (indicateurs de gouvernance de la Banque mondiale)</t>
  </si>
  <si>
    <t xml:space="preserve">Indicateur composite « Rule of Law » des WGI : perception du respect des règles de la société, notamment l'exécution des contrats, la police et la justice (libellé M04), agrégée à partir de sources d'experts et …</t>
  </si>
  <si>
    <t xml:space="preserve">Banque mondiale (Worldwide Governance Indicators) — WGI (API v2 de la Banque mondiale, source 3), GOV_WGI_RL.SC (score de gouvernance 0-100)</t>
  </si>
  <si>
    <t xml:space="preserve">api.worldbank.org/v2/country/FRA/indicator/GOV_WGI_RL.SC?source=3</t>
  </si>
  <si>
    <t xml:space="preserve">Variante principale de la famille etat_de_droit (D35 ; méthode §4 : niveau 1 et série la plus longue), score annuel depuis 1996 sauf 1997, 1999 et 2001 (25 points depuis 2000, 74,61 en 2025), quand l'indice du WJP ne commence qu'en 2012-2013.</t>
  </si>
  <si>
    <t xml:space="preserve">etat_de_droit_wjp</t>
  </si>
  <si>
    <t xml:space="preserve">Indice de l'État de droit (World Justice Project)</t>
  </si>
  <si>
    <t xml:space="preserve">Score global (de 0 à 1) du Rule of Law Index du World Justice Project, moyenne de huit facteurs (limitation des pouvoirs du gouvernement, absence de corruption, gouvernement ouvert, droits fondamentaux, ordre et …</t>
  </si>
  <si>
    <t xml:space="preserve">score de 0 à 1</t>
  </si>
  <si>
    <t xml:space="preserve">World Justice Project — Rule of Law Index, fichier historique 2025 (une feuille par édition)</t>
  </si>
  <si>
    <t xml:space="preserve">https://worldjusticeproject.org/rule-of-law-index/downloads/2025_wjp_rule_of_law_index_HISTORICAL_DATA_FILE.xlsx</t>
  </si>
  <si>
    <t xml:space="preserve">2013-2025 (12 points, irreguliere)</t>
  </si>
  <si>
    <t xml:space="preserve">Seul indice consacré à l'État de droit et à la justice, 12 éditions de 2012-2013 à 2025 (de 0,764 à 0,724), en alternative à l'indicateur WGI, plus long et de niveau 1, variante principale de la famille etat_de_droit (D35).</t>
  </si>
  <si>
    <t xml:space="preserve">independance_justice_percue</t>
  </si>
  <si>
    <t xml:space="preserve">Indépendance de la justice jugée bonne</t>
  </si>
  <si>
    <t xml:space="preserve">Part de la population qui juge très bonne ou plutôt bonne l'indépendance des tribunaux et des juges de son pays (« From what you know, how would you rate the justice system… »), enquêtes Flash Eurobaromètre annuelles …</t>
  </si>
  <si>
    <t xml:space="preserve">% de la population</t>
  </si>
  <si>
    <t xml:space="preserve">Eurostat (enquêtes Flash Eurobaromètre de la Commission européenne) — sdg_16_40 — Indépendance perçue du système judiciaire</t>
  </si>
  <si>
    <t xml:space="preserve">sdg_16_40?freq=A&amp;lev_perc=VG_FG&amp;unit=PC&amp;geo=FR</t>
  </si>
  <si>
    <t xml:space="preserve">2016-2025 (10 points, annuelle)</t>
  </si>
  <si>
    <t xml:space="preserve">Indicateur ODD de l'UE sur l'indépendance des tribunaux et des juges telle que la perçoit le public, annuel de 2016 à 2025 (10 points, de 59 % en 2019 à 51 % en 2025).</t>
  </si>
  <si>
    <t xml:space="preserve">liberte_academique_vdem</t>
  </si>
  <si>
    <t xml:space="preserve">Liberté académique (V-Dem)</t>
  </si>
  <si>
    <t xml:space="preserve">Indice composite de V-Dem (de 0 à 1) de la liberté académique (liberté de recherche et d'enseignement, échanges académiques, autonomie des établissements, intégrité des campus, liberté d'expression académique et …</t>
  </si>
  <si>
    <t xml:space="preserve">indice de 0 à 1</t>
  </si>
  <si>
    <t xml:space="preserve">V-Dem (Varieties of Democracy), relais Our World in Data — V-Dem v16 via le graphique OWID academic-freedom-index (colonne v2xca_academ__estimate_best)</t>
  </si>
  <si>
    <t xml:space="preserve">https://ourworldindata.org/grapher/academic-freedom-index.csv (colonne v2xca_academ__estimate_best)</t>
  </si>
  <si>
    <t xml:space="preserve">1900-2025 (26 points, annuelle)</t>
  </si>
  <si>
    <t xml:space="preserve">Seule mesure de la liberté académique, nommée dans le contenu de la dimension, indice V-Dem annuel de 2000 à 2025 (26 points, 0,800 en 2025).</t>
  </si>
  <si>
    <t xml:space="preserve">liberte_expression_vdem</t>
  </si>
  <si>
    <t xml:space="preserve">Liberté d'expression et sources d'information alternatives (V-Dem)</t>
  </si>
  <si>
    <t xml:space="preserve">Indice composite de V-Dem (de 0 à 1) mesurant le respect de la liberté de la presse et des médias, de la liberté de discussion et d'expression, et l'existence de sources d'information alternatives, à partir …</t>
  </si>
  <si>
    <t xml:space="preserve">V-Dem (Varieties of Democracy), relais Our World in Data — V-Dem v16 via le graphique OWID freedom-of-expression-index (colonne freeexpr_vdem__estimate_best)</t>
  </si>
  <si>
    <t xml:space="preserve">https://ourworldindata.org/grapher/freedom-of-expression-index.csv (colonne freeexpr_vdem__estimate_best)</t>
  </si>
  <si>
    <t xml:space="preserve">1789-2025 (26 points, annuelle)</t>
  </si>
  <si>
    <t xml:space="preserve">Liberté d'expression nommée dans le contenu de la dimension, indice V-Dem annuel de 2000 à 2025 (26 points, 0,959 en 2025), concept distinct de la qualité démocratique globale (famille propre, D35) et non incontournable, la table des cadres ne citant les « indices V-Dem » qu'en proxys généraux du thème démocratie et libertés de SSF.</t>
  </si>
  <si>
    <t xml:space="preserve">liberte_presse_rsf</t>
  </si>
  <si>
    <t xml:space="preserve">Liberté de la presse (score RSF)</t>
  </si>
  <si>
    <t xml:space="preserve">Score de la France au Classement mondial de la liberté de la presse de Reporters sans frontières (questionnaire d'experts et relevé des exactions contre les journalistes) ; de 0 à 100, plus haut = mieux, depuis 2013 …</t>
  </si>
  <si>
    <t xml:space="preserve">score de 0 à 100 (plus haut = mieux, depuis 2013)</t>
  </si>
  <si>
    <t xml:space="preserve">Reporters sans frontières — Classement mondial de la liberté de la presse, fichiers CSV annuels</t>
  </si>
  <si>
    <t xml:space="preserve">https://rsf.org/sites/default/files/import_classement/&lt;année&gt;.csv</t>
  </si>
  <si>
    <t xml:space="preserve">2002-2026 (24 points, annuelle)</t>
  </si>
  <si>
    <t xml:space="preserve">Mesure de référence de la liberté de la presse, nommée dans le contenu de la dimension et proposée pour le thème « démocratie et libertés » de Stiglitz-Sen-Fitoussi dans la table des cadres, annuelle de 2002 à 2026 mais lisible sur une échelle commune seulement depuis 2013 (ruptures en 2013 et 2022).</t>
  </si>
  <si>
    <t xml:space="preserve">occupation_carcerale</t>
  </si>
  <si>
    <t xml:space="preserve">Taux d'occupation des prisons (surpopulation carcérale)</t>
  </si>
  <si>
    <t xml:space="preserve">Nombre de personnes détenues pour 100 places opérationnelles des établissements pénitentiaires, au 31 décembre (population écrouée), France ; au-delà de 100, les prisons sont surpeuplées.</t>
  </si>
  <si>
    <t xml:space="preserve">détenus pour 100 places</t>
  </si>
  <si>
    <t xml:space="preserve">INSEE (données du ministère de la Justice) — BDM, tableau Population écrouée au 31 décembre (TCRED)</t>
  </si>
  <si>
    <t xml:space="preserve">001779317</t>
  </si>
  <si>
    <t xml:space="preserve">2012-2024 (13 points, annuelle)</t>
  </si>
  <si>
    <t xml:space="preserve">Mesure de la surpopulation des prisons, annuelle de 2012 à 2024 (de 103,4 % en 2020 à 129,5 % en 2024), raccordable à 2008 par le rapport des deux séries Eurostat crim_pris_cap.</t>
  </si>
  <si>
    <t xml:space="preserve">participation_electorale</t>
  </si>
  <si>
    <t xml:space="preserve">participation_presidentielle</t>
  </si>
  <si>
    <t xml:space="preserve">Taux de participation au premier tour de l'élection présidentielle</t>
  </si>
  <si>
    <t xml:space="preserve">Part des électeurs inscrits ayant voté au premier tour de l'élection présidentielle (votants rapportés aux inscrits), calculée par le projet sur le fichier agrégé des résultats du ministère de l'Intérieur.</t>
  </si>
  <si>
    <t xml:space="preserve">% des inscrits</t>
  </si>
  <si>
    <t xml:space="preserve">Ministère de l'Intérieur (résultats électoraux), calcul du projet — Données des élections agrégées (data.gouv.fr, fichier general_results au bureau de vote, Licence Ouverte 2.0), agrégées par scrutin et par département par le robot (vague 9)</t>
  </si>
  <si>
    <t xml:space="preserve">general_results (data.gouv.fr) : id_election AAAA_pres_t1, départements de métropole et DROM (somme votants / somme inscrits)</t>
  </si>
  <si>
    <t xml:space="preserve">2002-2022 (5 points, irreguliere)</t>
  </si>
  <si>
    <t xml:space="preserve">Concept incontournable (participation et voix politique : Doughnut, SSF, OCDE, Eurostat) et scrutin le plus suivi, 5 scrutins de 2002 à 2022 sur un champ homogène (75,28 % en 2022), recoupés avec 5 valeurs officielles (D34) et admis comme série irrégulière (D17).</t>
  </si>
  <si>
    <t xml:space="preserve">participation_departementales</t>
  </si>
  <si>
    <t xml:space="preserve">Taux de participation au premier tour des élections départementales</t>
  </si>
  <si>
    <t xml:space="preserve">Part des électeurs inscrits ayant voté au premier tour des élections départementales (votants rapportés aux inscrits), calculée par le projet sur le fichier agrégé des résultats du ministère de l'Intérieur, sur le champ …</t>
  </si>
  <si>
    <t xml:space="preserve">general_results (data.gouv.fr) : id_election AAAA_dpmt_t1, départements de métropole et DROM (somme votants / somme inscrits)</t>
  </si>
  <si>
    <t xml:space="preserve">2015-2021 (2 points, irreguliere)</t>
  </si>
  <si>
    <t xml:space="preserve">Scrutin départemental renouvelé en entier depuis 2015, 2 scrutins comparables sur un champ homogène (50,17 % en 2015, 33,32 % en 2021) recoupés avec l'INSEE, admis comme série irrégulière (D17, D28) plutôt qu'écartés pour leur seul nombre (D32).</t>
  </si>
  <si>
    <t xml:space="preserve">participation_europeennes</t>
  </si>
  <si>
    <t xml:space="preserve">Taux de participation aux élections européennes</t>
  </si>
  <si>
    <t xml:space="preserve">Part des électeurs inscrits ayant voté aux élections européennes (tour unique ; votants rapportés aux inscrits), calculée par le projet sur le fichier agrégé des résultats du ministère de l'Intérieur.</t>
  </si>
  <si>
    <t xml:space="preserve">general_results (data.gouv.fr) : id_election AAAA_euro_t1, départements de métropole et DROM (somme votants / somme inscrits)</t>
  </si>
  <si>
    <t xml:space="preserve">1999-2024 (5 points, irreguliere)</t>
  </si>
  <si>
    <t xml:space="preserve">Seul scrutin dont la série couvre l'année 2000 par report de la valeur de 1999, 6 scrutins de 1999 à 2024 sur un champ homogène (de 40,78 % en 2009 à 52,95 % en 2024), recoupés avec les 3 valeurs publiées par l'INSEE depuis 2014 (D34).</t>
  </si>
  <si>
    <t xml:space="preserve">participation_legislatives</t>
  </si>
  <si>
    <t xml:space="preserve">Taux de participation au premier tour des élections législatives</t>
  </si>
  <si>
    <t xml:space="preserve">Part des électeurs inscrits ayant voté au premier tour des élections législatives (votants rapportés aux inscrits), calculée par le projet sur le fichier agrégé des résultats du ministère de l'Intérieur.</t>
  </si>
  <si>
    <t xml:space="preserve">general_results (data.gouv.fr) : id_election AAAA_legi_t1, départements de métropole et DROM (somme votants / somme inscrits)</t>
  </si>
  <si>
    <t xml:space="preserve">2002-2024 (6 points, irreguliere)</t>
  </si>
  <si>
    <t xml:space="preserve">Scrutin national qui désigne l'Assemblée nationale, 6 scrutins de 2002 à 2024 sur un champ homogène (de 48,38 % en 2022 à 67,87 % en 2024), recoupés avec les 4 valeurs publiées par l'INSEE depuis 2012 (D34).</t>
  </si>
  <si>
    <t xml:space="preserve">participation_municipales</t>
  </si>
  <si>
    <t xml:space="preserve">Taux de participation au premier tour des élections municipales</t>
  </si>
  <si>
    <t xml:space="preserve">Part des électeurs inscrits ayant voté au premier tour des élections municipales (votants rapportés aux inscrits), calculée par le projet sur le fichier agrégé des résultats du ministère de l'Intérieur.</t>
  </si>
  <si>
    <t xml:space="preserve">general_results (data.gouv.fr) : id_election AAAA_muni_t1, départements de métropole et DROM (somme votants / somme inscrits)</t>
  </si>
  <si>
    <t xml:space="preserve">2014-2026 (3 points, irreguliere)</t>
  </si>
  <si>
    <t xml:space="preserve">Scrutin local de référence, 3 scrutins comparables de 2014 à 2026 sur un champ homogène (44,60 % en 2020, scrutin tenu au début de l'épidémie de covid-19), le fichier ne couvrant en 2008 que les communes de plus de 3 500 habitants.</t>
  </si>
  <si>
    <t xml:space="preserve">participation_regionales</t>
  </si>
  <si>
    <t xml:space="preserve">Taux de participation au premier tour des élections régionales</t>
  </si>
  <si>
    <t xml:space="preserve">Part des électeurs inscrits ayant voté au premier tour des élections régionales (votants rapportés aux inscrits), calculée par le projet sur le fichier agrégé des résultats du ministère de l'Intérieur.</t>
  </si>
  <si>
    <t xml:space="preserve">general_results (data.gouv.fr) : id_election AAAA_regi_t1, départements de métropole et DROM (somme votants / somme inscrits)</t>
  </si>
  <si>
    <t xml:space="preserve">2010-2021 (3 points, irreguliere)</t>
  </si>
  <si>
    <t xml:space="preserve">Participation à un scrutin territorial, 3 scrutins comparables de 2010 à 2021 sur un champ homogène (de 49,91 % en 2015 à 33,27 % en 2021), recoupés avec 3 valeurs officielles (D34), la valeur 2004 du fichier étant fausse.</t>
  </si>
  <si>
    <t xml:space="preserve">participation_en_ligne</t>
  </si>
  <si>
    <t xml:space="preserve">Participation en ligne à des consultations ou à des votes sur des sujets civiques ou politiques</t>
  </si>
  <si>
    <t xml:space="preserve">Part des particuliers ayant utilisé internet pour participer à des consultations en ligne ou pour voter sur des sujets civiques ou politiques (urbanisme, signature de pétitions, par exemple), d'après l'enquête …</t>
  </si>
  <si>
    <t xml:space="preserve">% des particuliers</t>
  </si>
  <si>
    <t xml:space="preserve">Eurostat — isoc_ci_ac_i — Particuliers, activités sur l'internet</t>
  </si>
  <si>
    <t xml:space="preserve">isoc_ci_ac_i?freq=A&amp;indic_is=I_IUVOTE&amp;unit=PC_IND&amp;ind_type=IND_TOTAL&amp;geo=FR</t>
  </si>
  <si>
    <t xml:space="preserve">2011-2025 (10 points, irreguliere)</t>
  </si>
  <si>
    <t xml:space="preserve">Seule mesure fréquente de la participation citoyenne hors élections, 10 points de 2011 à 2025 entre 5,98 % (2015) et 10,36 % (2013), 8,74 % en 2025, éligible et de niveau 1, rattachée à la dimension par l'audit M06 (O2).</t>
  </si>
  <si>
    <t xml:space="preserve">qualite_democratique</t>
  </si>
  <si>
    <t xml:space="preserve">democratie_liberale_vdem</t>
  </si>
  <si>
    <t xml:space="preserve">Indice de démocratie libérale (V-Dem)</t>
  </si>
  <si>
    <t xml:space="preserve">Indice composite de V-Dem (de 0 à 1) qui combine la démocratie électorale (élections libres et équitables, suffrage, libertés d'association et d'expression) et la composante libérale (État de droit, contraintes …</t>
  </si>
  <si>
    <t xml:space="preserve">V-Dem (Varieties of Democracy), relais Our World in Data — V-Dem v16 via le graphique OWID liberal-democracy-index (colonne libdem_vdem__estimate_best)</t>
  </si>
  <si>
    <t xml:space="preserve">https://ourworldindata.org/grapher/liberal-democracy-index.csv (colonne libdem_vdem__estimate_best)</t>
  </si>
  <si>
    <t xml:space="preserve">Variante principale de la famille qualite_democratique (D35 : V-Dem libéral, Freedom House, WGI voix et responsabilité), concept le plus large des trois et version continue de l'indicateur de régime du Doughnut, annuelle sans lacune de 2000 à 2025 (26 points, 0,80 en 2025).</t>
  </si>
  <si>
    <t xml:space="preserve">democratie_participative_vdem</t>
  </si>
  <si>
    <t xml:space="preserve">Indice de démocratie participative (V-Dem)</t>
  </si>
  <si>
    <t xml:space="preserve">Indice composite de V-Dem (de 0 à 1) qui combine la démocratie électorale et la composante participative (participation des citoyens aux organisations de la société civile, démocratie directe, élus locaux et régionaux), …</t>
  </si>
  <si>
    <t xml:space="preserve">V-Dem (Varieties of Democracy), relais Our World in Data — V-Dem v16 via le graphique OWID participatory-democracy-index (colonne participdem_vdem__estimate_best)</t>
  </si>
  <si>
    <t xml:space="preserve">https://ourworldindata.org/grapher/participatory-democracy-index.csv (colonne participdem_vdem__estimate_best)</t>
  </si>
  <si>
    <t xml:space="preserve">Indice global V-Dem le plus proche du thème participation, annuel de 2000 à 2025 (26 points, 0,597 en 2025), en alternative à l'indice de démocratie libérale dans la famille qualite_democratique (D35).</t>
  </si>
  <si>
    <t xml:space="preserve">libertes_freedom_house</t>
  </si>
  <si>
    <t xml:space="preserve">Score global de liberté (Freedom House)</t>
  </si>
  <si>
    <t xml:space="preserve">Score global de Freedom in the World (de 0 à 100), somme des droits politiques (0 à 40 : processus électoral, pluralisme, fonctionnement du gouvernement) et des libertés civiles (0 à 60 : expression, association, État …</t>
  </si>
  <si>
    <t xml:space="preserve">Freedom House, relais Our World in Data — Freedom in the World via le graphique OWID freedom-score-fh (colonne total_score)</t>
  </si>
  <si>
    <t xml:space="preserve">https://ourworldindata.org/grapher/freedom-score-fh.csv (colonne total_score)</t>
  </si>
  <si>
    <t xml:space="preserve">2002-2025 (24 points, annuelle)</t>
  </si>
  <si>
    <t xml:space="preserve">Score global de Freedom House de 2002 à 2025 (24 points, 89 sur 100 en 2025), substituable à l'indice V-Dem de démocratie libérale (famille qualite_democratique, D35) mais à 7 valeurs distinctes seulement, sans licence trouvée et absent de la table des cadres (non incontournable).</t>
  </si>
  <si>
    <t xml:space="preserve">voix_responsabilite_wgi</t>
  </si>
  <si>
    <t xml:space="preserve">Voix et responsabilité (indicateurs de gouvernance de la Banque mondiale)</t>
  </si>
  <si>
    <t xml:space="preserve">Indicateur composite « Voice and Accountability » des WGI : perception de la participation des citoyens au choix de leurs gouvernants et des libertés d'expression, d'association et des médias (libellé M04 : expression, …</t>
  </si>
  <si>
    <t xml:space="preserve">Banque mondiale (Worldwide Governance Indicators) — WGI (API v2 de la Banque mondiale, source 3), GOV_WGI_VA.SC (score de gouvernance 0-100)</t>
  </si>
  <si>
    <t xml:space="preserve">api.worldbank.org/v2/country/FRA/indicator/GOV_WGI_VA.SC?source=3</t>
  </si>
  <si>
    <t xml:space="preserve">Mesure existante de l'indicateur « voix et responsabilité » du cadre Eurostat QoL, score annuel depuis 1996 sauf 1997, 1999 et 2001 (25 points depuis 2000, 78,99 en 2025), substituable à l'indice V-Dem de démocratie libérale (famille qualite_democratique, D35) mais de concept plus étroit.</t>
  </si>
  <si>
    <t xml:space="preserve">signalement_police</t>
  </si>
  <si>
    <t xml:space="preserve">Taux de signalement à la police des agressions physiques</t>
  </si>
  <si>
    <t xml:space="preserve">Part des victimes d'agression physique au cours des douze derniers mois qui ont signalé les faits à la police (« Police reporting rate for physical assault », indicateur ODD 16.3.1, enquête de victimation, base ODD de …</t>
  </si>
  <si>
    <t xml:space="preserve">ambigu</t>
  </si>
  <si>
    <t xml:space="preserve">% des victimes</t>
  </si>
  <si>
    <t xml:space="preserve">OCDE (base « Measuring distance to the SDG targets », ODD 16.3.1) — DSD_SDG@DF_SDG_G_16, série 16_3_1_VC_PRR_PHYV</t>
  </si>
  <si>
    <t xml:space="preserve">odd_16 : 16_3_1_VC_PRR_PHYV._T._T._T._T._T.PT_POP</t>
  </si>
  <si>
    <t xml:space="preserve">2010-2022 (12 points, annuelle)</t>
  </si>
  <si>
    <t xml:space="preserve">Sens ambigu : une hausse du taux de signalement peut traduire une confiance accrue dans la police comme un changement des faits subis ou des comportements de plainte (M04), et la série s'arrête en 2022.</t>
  </si>
  <si>
    <t xml:space="preserve">taux_detention</t>
  </si>
  <si>
    <t xml:space="preserve">Nombre de personnes détenues pour 100 000 habitants</t>
  </si>
  <si>
    <t xml:space="preserve">Nombre de personnes détenues rapporté à la population, pour 100 000 habitants, tous âges et deux sexes (Eurostat crim_pris_age, « Détenus par âge et sexe »).</t>
  </si>
  <si>
    <t xml:space="preserve">pour 100 000 habitants</t>
  </si>
  <si>
    <t xml:space="preserve">Eurostat — crim_pris_age — Détenus par âge et sexe</t>
  </si>
  <si>
    <t xml:space="preserve">crim_pris_age?freq=A&amp;age=TOTAL&amp;sex=T&amp;unit=P_HTHAB&amp;geo=FR</t>
  </si>
  <si>
    <t xml:space="preserve">2008-2024 (17 points, annuelle)</t>
  </si>
  <si>
    <t xml:space="preserve">Sens ambigu : la hausse du nombre de détenus pour 100 000 habitants (de 97,26 en 2008 à 117,47 en 2024) peut traduire plus de délinquance ou une justice plus sévère sans que l'État de droit progresse ni recule.</t>
  </si>
  <si>
    <t xml:space="preserve">voix_pouvoirs_publics</t>
  </si>
  <si>
    <t xml:space="preserve">Sentiment d'avoir son mot à dire sur l'action des pouvoirs publics</t>
  </si>
  <si>
    <t xml:space="preserve">Part des personnes de 16 à 65 ans déclarant avoir leur mot à dire sur ce que fait le gouvernement (« Having a say in government »), base How's Life de l'OCDE, mesure 8_1 (vagues 2021 et 2023) ; source primaire à …</t>
  </si>
  <si>
    <t xml:space="preserve">% des 16-65 ans</t>
  </si>
  <si>
    <t xml:space="preserve">OCDE — How's Life? — bien-être actuel (DSD_HSL@DF_HSL_CWB), mesure 8_1</t>
  </si>
  <si>
    <t xml:space="preserve">OECD.WISE.WDP,DSD_HSL@DF_HSL_CWB,1.1 MEASURE=8_1 UNIT_MEASURE=PT_POP_Y16T65</t>
  </si>
  <si>
    <t xml:space="preserve">2021-2023 (2 points, irreguliere)</t>
  </si>
  <si>
    <t xml:space="preserve">Seule mesure du sentiment d'avoir son mot à dire, nommé dans le contenu de la dimension et indicateur OCDE 8_1, disponible pour la France en 2021 et 2023 (26,3 % en 2023), admise comme série irrégulière (D17).</t>
  </si>
  <si>
    <t xml:space="preserve">Dimension</t>
  </si>
  <si>
    <t xml:space="preserve">Démocratie et institutions</t>
  </si>
  <si>
    <t xml:space="preserve">Indicateurs candidats (fiches)</t>
  </si>
  <si>
    <t xml:space="preserve">Familles distinctes</t>
  </si>
  <si>
    <t xml:space="preserve">Recommandations de l'agent</t>
  </si>
  <si>
    <t xml:space="preserve">  retenir</t>
  </si>
  <si>
    <t xml:space="preserve">  retenir_variante</t>
  </si>
  <si>
    <t xml:space="preserve">  ecarter</t>
  </si>
  <si>
    <t xml:space="preserve">Décisions par défaut</t>
  </si>
  <si>
    <t xml:space="preserve">  retenu_socle</t>
  </si>
  <si>
    <t xml:space="preserve">  retenu</t>
  </si>
  <si>
    <t xml:space="preserve">  ecarte</t>
  </si>
  <si>
    <t xml:space="preserve">  a_discuter</t>
  </si>
  <si>
    <t xml:space="preserve">Vos décisions saisies (exceptions)</t>
  </si>
  <si>
    <t xml:space="preserve">  dont retenu_socle</t>
  </si>
  <si>
    <t xml:space="preserve">  dont retenu</t>
  </si>
  <si>
    <t xml:space="preserve">  dont ecarte</t>
  </si>
  <si>
    <t xml:space="preserve">  dont a_discuter</t>
  </si>
  <si>
    <t xml:space="preserve">Les comptes se recalculent à l'ouverture dans Excel.</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</si>
</sst>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name val="Arial"/>
      <family val="2"/>
    </font>
    <font>
      <i val="true"/>
      <sz val="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FFF2CC"/>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23.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row>
    <row r="14" customFormat="false" ht="15" hidden="false" customHeight="false" outlineLevel="0" collapsed="false">
      <c r="A14" s="3"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row>
    <row r="21" customFormat="false" ht="15" hidden="false" customHeight="false" outlineLevel="0" collapsed="false">
      <c r="A2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3" min="3" style="0" width="44"/>
    <col collapsed="false" customWidth="true" hidden="false" outlineLevel="0" max="4" min="4" style="0" width="11"/>
    <col collapsed="false" customWidth="true" hidden="false" outlineLevel="0" max="5" min="5" style="0" width="60"/>
    <col collapsed="false" customWidth="true" hidden="false" outlineLevel="0" max="6" min="6" style="0" width="8"/>
    <col collapsed="false" customWidth="true" hidden="false" outlineLevel="0" max="7" min="7" style="0" width="18"/>
    <col collapsed="false" customWidth="true" hidden="false" outlineLevel="0" max="8" min="8" style="0" width="36"/>
    <col collapsed="false" customWidth="true" hidden="false" outlineLevel="0" max="9" min="9" style="0" width="30"/>
    <col collapsed="false" customWidth="true" hidden="false" outlineLevel="0" max="10" min="10" style="0" width="22"/>
    <col collapsed="false" customWidth="true" hidden="false" outlineLevel="0" max="13" min="11" style="0" width="10"/>
    <col collapsed="false" customWidth="true" hidden="false" outlineLevel="0" max="14" min="14" style="0" width="13"/>
    <col collapsed="false" customWidth="true" hidden="false" outlineLevel="0" max="15" min="15" style="0" width="16"/>
    <col collapsed="false" customWidth="true" hidden="false" outlineLevel="0" max="16" min="16" style="0" width="70"/>
    <col collapsed="false" customWidth="true" hidden="false" outlineLevel="0" max="17" min="17" style="0" width="18"/>
    <col collapsed="false" customWidth="true" hidden="false" outlineLevel="0" max="18" min="18" style="0" width="20"/>
    <col collapsed="false" customWidth="true" hidden="false" outlineLevel="0" max="19" min="19" style="0" width="40"/>
  </cols>
  <sheetData>
    <row r="1" customFormat="false" ht="42" hidden="false" customHeight="true" outlineLevel="0" collapsed="false">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customFormat="false" ht="60" hidden="false" customHeight="true" outlineLevel="0" collapsed="false">
      <c r="A2" s="5" t="s">
        <v>37</v>
      </c>
      <c r="B2" s="6" t="s">
        <v>37</v>
      </c>
      <c r="C2" s="5" t="s">
        <v>38</v>
      </c>
      <c r="D2" s="5" t="s">
        <v>39</v>
      </c>
      <c r="E2" s="5" t="s">
        <v>40</v>
      </c>
      <c r="F2" s="5" t="s">
        <v>41</v>
      </c>
      <c r="G2" s="5" t="s">
        <v>42</v>
      </c>
      <c r="H2" s="5" t="s">
        <v>43</v>
      </c>
      <c r="I2" s="5" t="s">
        <v>44</v>
      </c>
      <c r="J2" s="5" t="s">
        <v>45</v>
      </c>
      <c r="K2" s="5" t="s">
        <v>46</v>
      </c>
      <c r="L2" s="5" t="s">
        <v>47</v>
      </c>
      <c r="M2" s="5" t="s">
        <v>47</v>
      </c>
      <c r="N2" s="5" t="s">
        <v>47</v>
      </c>
      <c r="O2" s="5" t="s">
        <v>48</v>
      </c>
      <c r="P2" s="5" t="s">
        <v>49</v>
      </c>
      <c r="Q2" s="5" t="s">
        <v>50</v>
      </c>
      <c r="R2" s="7"/>
      <c r="S2" s="7"/>
    </row>
    <row r="3" customFormat="false" ht="60" hidden="false" customHeight="true" outlineLevel="0" collapsed="false">
      <c r="A3" s="5" t="s">
        <v>51</v>
      </c>
      <c r="B3" s="6" t="s">
        <v>51</v>
      </c>
      <c r="C3" s="5" t="s">
        <v>52</v>
      </c>
      <c r="D3" s="5" t="s">
        <v>39</v>
      </c>
      <c r="E3" s="5" t="s">
        <v>53</v>
      </c>
      <c r="F3" s="5" t="s">
        <v>41</v>
      </c>
      <c r="G3" s="5" t="s">
        <v>54</v>
      </c>
      <c r="H3" s="5" t="s">
        <v>55</v>
      </c>
      <c r="I3" s="5" t="s">
        <v>56</v>
      </c>
      <c r="J3" s="5" t="s">
        <v>57</v>
      </c>
      <c r="K3" s="5" t="s">
        <v>46</v>
      </c>
      <c r="L3" s="5" t="s">
        <v>47</v>
      </c>
      <c r="M3" s="5" t="s">
        <v>47</v>
      </c>
      <c r="N3" s="5" t="s">
        <v>39</v>
      </c>
      <c r="O3" s="5" t="s">
        <v>48</v>
      </c>
      <c r="P3" s="5" t="s">
        <v>58</v>
      </c>
      <c r="Q3" s="5" t="s">
        <v>59</v>
      </c>
      <c r="R3" s="7"/>
      <c r="S3" s="7"/>
    </row>
    <row r="4" customFormat="false" ht="60" hidden="false" customHeight="true" outlineLevel="0" collapsed="false">
      <c r="A4" s="5" t="s">
        <v>60</v>
      </c>
      <c r="B4" s="6" t="s">
        <v>60</v>
      </c>
      <c r="C4" s="5" t="s">
        <v>61</v>
      </c>
      <c r="D4" s="5" t="s">
        <v>39</v>
      </c>
      <c r="E4" s="5" t="s">
        <v>62</v>
      </c>
      <c r="F4" s="5" t="s">
        <v>41</v>
      </c>
      <c r="G4" s="5" t="s">
        <v>42</v>
      </c>
      <c r="H4" s="5" t="s">
        <v>63</v>
      </c>
      <c r="I4" s="5" t="s">
        <v>64</v>
      </c>
      <c r="J4" s="5" t="s">
        <v>65</v>
      </c>
      <c r="K4" s="5" t="s">
        <v>46</v>
      </c>
      <c r="L4" s="5" t="s">
        <v>39</v>
      </c>
      <c r="M4" s="5" t="s">
        <v>47</v>
      </c>
      <c r="N4" s="5" t="s">
        <v>47</v>
      </c>
      <c r="O4" s="5" t="s">
        <v>48</v>
      </c>
      <c r="P4" s="5" t="s">
        <v>66</v>
      </c>
      <c r="Q4" s="5" t="s">
        <v>50</v>
      </c>
      <c r="R4" s="7"/>
      <c r="S4" s="7"/>
    </row>
    <row r="5" customFormat="false" ht="60" hidden="false" customHeight="true" outlineLevel="0" collapsed="false">
      <c r="A5" s="5" t="s">
        <v>67</v>
      </c>
      <c r="B5" s="6" t="s">
        <v>67</v>
      </c>
      <c r="C5" s="5" t="s">
        <v>68</v>
      </c>
      <c r="D5" s="5" t="s">
        <v>39</v>
      </c>
      <c r="E5" s="5" t="s">
        <v>69</v>
      </c>
      <c r="F5" s="5" t="s">
        <v>41</v>
      </c>
      <c r="G5" s="5" t="s">
        <v>70</v>
      </c>
      <c r="H5" s="5" t="s">
        <v>71</v>
      </c>
      <c r="I5" s="5" t="s">
        <v>72</v>
      </c>
      <c r="J5" s="5" t="s">
        <v>73</v>
      </c>
      <c r="K5" s="5" t="s">
        <v>46</v>
      </c>
      <c r="L5" s="5" t="s">
        <v>39</v>
      </c>
      <c r="M5" s="5" t="s">
        <v>47</v>
      </c>
      <c r="N5" s="5" t="s">
        <v>47</v>
      </c>
      <c r="O5" s="5" t="s">
        <v>48</v>
      </c>
      <c r="P5" s="5" t="s">
        <v>74</v>
      </c>
      <c r="Q5" s="5" t="s">
        <v>50</v>
      </c>
      <c r="R5" s="7"/>
      <c r="S5" s="7"/>
    </row>
    <row r="6" customFormat="false" ht="60" hidden="false" customHeight="true" outlineLevel="0" collapsed="false">
      <c r="A6" s="5" t="s">
        <v>75</v>
      </c>
      <c r="B6" s="6" t="s">
        <v>75</v>
      </c>
      <c r="C6" s="5" t="s">
        <v>76</v>
      </c>
      <c r="D6" s="5" t="s">
        <v>39</v>
      </c>
      <c r="E6" s="5" t="s">
        <v>77</v>
      </c>
      <c r="F6" s="5" t="s">
        <v>41</v>
      </c>
      <c r="G6" s="5" t="s">
        <v>70</v>
      </c>
      <c r="H6" s="5" t="s">
        <v>71</v>
      </c>
      <c r="I6" s="5" t="s">
        <v>78</v>
      </c>
      <c r="J6" s="5" t="s">
        <v>73</v>
      </c>
      <c r="K6" s="5" t="s">
        <v>46</v>
      </c>
      <c r="L6" s="5" t="s">
        <v>39</v>
      </c>
      <c r="M6" s="5" t="s">
        <v>47</v>
      </c>
      <c r="N6" s="5" t="s">
        <v>47</v>
      </c>
      <c r="O6" s="5" t="s">
        <v>48</v>
      </c>
      <c r="P6" s="5" t="s">
        <v>79</v>
      </c>
      <c r="Q6" s="5" t="s">
        <v>50</v>
      </c>
      <c r="R6" s="7"/>
      <c r="S6" s="7"/>
    </row>
    <row r="7" customFormat="false" ht="60" hidden="false" customHeight="true" outlineLevel="0" collapsed="false">
      <c r="A7" s="5" t="s">
        <v>80</v>
      </c>
      <c r="B7" s="6" t="s">
        <v>80</v>
      </c>
      <c r="C7" s="5" t="s">
        <v>81</v>
      </c>
      <c r="D7" s="5" t="s">
        <v>39</v>
      </c>
      <c r="E7" s="5" t="s">
        <v>82</v>
      </c>
      <c r="F7" s="5" t="s">
        <v>41</v>
      </c>
      <c r="G7" s="5" t="s">
        <v>83</v>
      </c>
      <c r="H7" s="5" t="s">
        <v>84</v>
      </c>
      <c r="I7" s="5" t="s">
        <v>85</v>
      </c>
      <c r="J7" s="5" t="s">
        <v>86</v>
      </c>
      <c r="K7" s="5" t="s">
        <v>46</v>
      </c>
      <c r="L7" s="5" t="s">
        <v>39</v>
      </c>
      <c r="M7" s="5" t="s">
        <v>47</v>
      </c>
      <c r="N7" s="5" t="s">
        <v>47</v>
      </c>
      <c r="O7" s="5" t="s">
        <v>48</v>
      </c>
      <c r="P7" s="5" t="s">
        <v>87</v>
      </c>
      <c r="Q7" s="5" t="s">
        <v>50</v>
      </c>
      <c r="R7" s="7"/>
      <c r="S7" s="7"/>
    </row>
    <row r="8" customFormat="false" ht="60" hidden="false" customHeight="true" outlineLevel="0" collapsed="false">
      <c r="A8" s="5" t="s">
        <v>88</v>
      </c>
      <c r="B8" s="6" t="s">
        <v>88</v>
      </c>
      <c r="C8" s="5" t="s">
        <v>89</v>
      </c>
      <c r="D8" s="5" t="s">
        <v>39</v>
      </c>
      <c r="E8" s="5" t="s">
        <v>90</v>
      </c>
      <c r="F8" s="5" t="s">
        <v>41</v>
      </c>
      <c r="G8" s="5" t="s">
        <v>70</v>
      </c>
      <c r="H8" s="5" t="s">
        <v>71</v>
      </c>
      <c r="I8" s="5" t="s">
        <v>91</v>
      </c>
      <c r="J8" s="5" t="s">
        <v>73</v>
      </c>
      <c r="K8" s="5" t="s">
        <v>46</v>
      </c>
      <c r="L8" s="5" t="s">
        <v>39</v>
      </c>
      <c r="M8" s="5" t="s">
        <v>47</v>
      </c>
      <c r="N8" s="5" t="s">
        <v>47</v>
      </c>
      <c r="O8" s="5" t="s">
        <v>48</v>
      </c>
      <c r="P8" s="5" t="s">
        <v>92</v>
      </c>
      <c r="Q8" s="5" t="s">
        <v>50</v>
      </c>
      <c r="R8" s="7"/>
      <c r="S8" s="7"/>
    </row>
    <row r="9" customFormat="false" ht="60" hidden="false" customHeight="true" outlineLevel="0" collapsed="false">
      <c r="A9" s="5" t="s">
        <v>93</v>
      </c>
      <c r="B9" s="6" t="s">
        <v>93</v>
      </c>
      <c r="C9" s="5" t="s">
        <v>94</v>
      </c>
      <c r="D9" s="5" t="s">
        <v>39</v>
      </c>
      <c r="E9" s="5" t="s">
        <v>95</v>
      </c>
      <c r="F9" s="5" t="s">
        <v>41</v>
      </c>
      <c r="G9" s="5" t="s">
        <v>70</v>
      </c>
      <c r="H9" s="5" t="s">
        <v>71</v>
      </c>
      <c r="I9" s="5" t="s">
        <v>96</v>
      </c>
      <c r="J9" s="5" t="s">
        <v>73</v>
      </c>
      <c r="K9" s="5" t="s">
        <v>46</v>
      </c>
      <c r="L9" s="5" t="s">
        <v>39</v>
      </c>
      <c r="M9" s="5" t="s">
        <v>47</v>
      </c>
      <c r="N9" s="5" t="s">
        <v>47</v>
      </c>
      <c r="O9" s="5" t="s">
        <v>48</v>
      </c>
      <c r="P9" s="5" t="s">
        <v>97</v>
      </c>
      <c r="Q9" s="5" t="s">
        <v>50</v>
      </c>
      <c r="R9" s="7"/>
      <c r="S9" s="7"/>
    </row>
    <row r="10" customFormat="false" ht="60" hidden="false" customHeight="true" outlineLevel="0" collapsed="false">
      <c r="A10" s="5" t="s">
        <v>98</v>
      </c>
      <c r="B10" s="6" t="s">
        <v>98</v>
      </c>
      <c r="C10" s="5" t="s">
        <v>99</v>
      </c>
      <c r="D10" s="5" t="s">
        <v>39</v>
      </c>
      <c r="E10" s="5" t="s">
        <v>100</v>
      </c>
      <c r="F10" s="5" t="s">
        <v>41</v>
      </c>
      <c r="G10" s="5" t="s">
        <v>42</v>
      </c>
      <c r="H10" s="5" t="s">
        <v>63</v>
      </c>
      <c r="I10" s="5" t="s">
        <v>101</v>
      </c>
      <c r="J10" s="5" t="s">
        <v>65</v>
      </c>
      <c r="K10" s="5" t="s">
        <v>46</v>
      </c>
      <c r="L10" s="5" t="s">
        <v>39</v>
      </c>
      <c r="M10" s="5" t="s">
        <v>47</v>
      </c>
      <c r="N10" s="5" t="s">
        <v>47</v>
      </c>
      <c r="O10" s="5" t="s">
        <v>48</v>
      </c>
      <c r="P10" s="5" t="s">
        <v>102</v>
      </c>
      <c r="Q10" s="5" t="s">
        <v>50</v>
      </c>
      <c r="R10" s="7"/>
      <c r="S10" s="7"/>
    </row>
    <row r="11" customFormat="false" ht="60" hidden="false" customHeight="true" outlineLevel="0" collapsed="false">
      <c r="A11" s="5" t="s">
        <v>103</v>
      </c>
      <c r="B11" s="6" t="s">
        <v>103</v>
      </c>
      <c r="C11" s="5" t="s">
        <v>104</v>
      </c>
      <c r="D11" s="5" t="s">
        <v>39</v>
      </c>
      <c r="E11" s="5" t="s">
        <v>105</v>
      </c>
      <c r="F11" s="5" t="s">
        <v>41</v>
      </c>
      <c r="G11" s="5" t="s">
        <v>70</v>
      </c>
      <c r="H11" s="5" t="s">
        <v>71</v>
      </c>
      <c r="I11" s="5" t="s">
        <v>106</v>
      </c>
      <c r="J11" s="5" t="s">
        <v>73</v>
      </c>
      <c r="K11" s="5" t="s">
        <v>46</v>
      </c>
      <c r="L11" s="5" t="s">
        <v>39</v>
      </c>
      <c r="M11" s="5" t="s">
        <v>47</v>
      </c>
      <c r="N11" s="5" t="s">
        <v>47</v>
      </c>
      <c r="O11" s="5" t="s">
        <v>48</v>
      </c>
      <c r="P11" s="5" t="s">
        <v>107</v>
      </c>
      <c r="Q11" s="5" t="s">
        <v>50</v>
      </c>
      <c r="R11" s="7"/>
      <c r="S11" s="7"/>
    </row>
    <row r="12" customFormat="false" ht="60" hidden="false" customHeight="true" outlineLevel="0" collapsed="false">
      <c r="A12" s="5" t="s">
        <v>108</v>
      </c>
      <c r="B12" s="6" t="s">
        <v>109</v>
      </c>
      <c r="C12" s="5" t="s">
        <v>110</v>
      </c>
      <c r="D12" s="5" t="s">
        <v>39</v>
      </c>
      <c r="E12" s="5" t="s">
        <v>111</v>
      </c>
      <c r="F12" s="5" t="s">
        <v>41</v>
      </c>
      <c r="G12" s="5" t="s">
        <v>112</v>
      </c>
      <c r="H12" s="5" t="s">
        <v>113</v>
      </c>
      <c r="I12" s="5" t="s">
        <v>114</v>
      </c>
      <c r="J12" s="5" t="s">
        <v>115</v>
      </c>
      <c r="K12" s="5" t="s">
        <v>46</v>
      </c>
      <c r="L12" s="5" t="s">
        <v>47</v>
      </c>
      <c r="M12" s="5" t="s">
        <v>39</v>
      </c>
      <c r="N12" s="5" t="s">
        <v>47</v>
      </c>
      <c r="O12" s="5" t="s">
        <v>48</v>
      </c>
      <c r="P12" s="5" t="s">
        <v>116</v>
      </c>
      <c r="Q12" s="5" t="s">
        <v>50</v>
      </c>
      <c r="R12" s="7"/>
      <c r="S12" s="7"/>
    </row>
    <row r="13" customFormat="false" ht="60" hidden="false" customHeight="true" outlineLevel="0" collapsed="false">
      <c r="A13" s="5" t="s">
        <v>108</v>
      </c>
      <c r="B13" s="5" t="s">
        <v>117</v>
      </c>
      <c r="C13" s="5" t="s">
        <v>118</v>
      </c>
      <c r="D13" s="5" t="s">
        <v>47</v>
      </c>
      <c r="E13" s="5" t="s">
        <v>119</v>
      </c>
      <c r="F13" s="5" t="s">
        <v>41</v>
      </c>
      <c r="G13" s="5" t="s">
        <v>112</v>
      </c>
      <c r="H13" s="5" t="s">
        <v>120</v>
      </c>
      <c r="I13" s="5" t="s">
        <v>121</v>
      </c>
      <c r="J13" s="5" t="s">
        <v>122</v>
      </c>
      <c r="K13" s="5" t="s">
        <v>46</v>
      </c>
      <c r="L13" s="5" t="s">
        <v>47</v>
      </c>
      <c r="M13" s="5" t="s">
        <v>39</v>
      </c>
      <c r="N13" s="5" t="s">
        <v>47</v>
      </c>
      <c r="O13" s="5" t="s">
        <v>123</v>
      </c>
      <c r="P13" s="5" t="s">
        <v>124</v>
      </c>
      <c r="Q13" s="5" t="s">
        <v>50</v>
      </c>
      <c r="R13" s="7"/>
      <c r="S13" s="7"/>
    </row>
    <row r="14" customFormat="false" ht="60" hidden="false" customHeight="true" outlineLevel="0" collapsed="false">
      <c r="A14" s="5" t="s">
        <v>125</v>
      </c>
      <c r="B14" s="6" t="s">
        <v>125</v>
      </c>
      <c r="C14" s="5" t="s">
        <v>126</v>
      </c>
      <c r="D14" s="5" t="s">
        <v>39</v>
      </c>
      <c r="E14" s="5" t="s">
        <v>127</v>
      </c>
      <c r="F14" s="5" t="s">
        <v>41</v>
      </c>
      <c r="G14" s="5" t="s">
        <v>128</v>
      </c>
      <c r="H14" s="5" t="s">
        <v>129</v>
      </c>
      <c r="I14" s="5" t="s">
        <v>130</v>
      </c>
      <c r="J14" s="5" t="s">
        <v>131</v>
      </c>
      <c r="K14" s="5" t="s">
        <v>132</v>
      </c>
      <c r="L14" s="5" t="s">
        <v>47</v>
      </c>
      <c r="M14" s="5" t="s">
        <v>47</v>
      </c>
      <c r="N14" s="5" t="s">
        <v>47</v>
      </c>
      <c r="O14" s="5" t="s">
        <v>133</v>
      </c>
      <c r="P14" s="5" t="s">
        <v>134</v>
      </c>
      <c r="Q14" s="5" t="s">
        <v>135</v>
      </c>
      <c r="R14" s="7"/>
      <c r="S14" s="7"/>
    </row>
    <row r="15" customFormat="false" ht="60" hidden="false" customHeight="true" outlineLevel="0" collapsed="false">
      <c r="A15" s="5" t="s">
        <v>136</v>
      </c>
      <c r="B15" s="6" t="s">
        <v>136</v>
      </c>
      <c r="C15" s="5" t="s">
        <v>137</v>
      </c>
      <c r="D15" s="5" t="s">
        <v>39</v>
      </c>
      <c r="E15" s="5" t="s">
        <v>138</v>
      </c>
      <c r="F15" s="5" t="s">
        <v>139</v>
      </c>
      <c r="G15" s="5" t="s">
        <v>140</v>
      </c>
      <c r="H15" s="5" t="s">
        <v>141</v>
      </c>
      <c r="I15" s="5" t="s">
        <v>142</v>
      </c>
      <c r="J15" s="5" t="s">
        <v>143</v>
      </c>
      <c r="K15" s="5" t="s">
        <v>46</v>
      </c>
      <c r="L15" s="5" t="s">
        <v>47</v>
      </c>
      <c r="M15" s="5" t="s">
        <v>47</v>
      </c>
      <c r="N15" s="5" t="s">
        <v>47</v>
      </c>
      <c r="O15" s="5" t="s">
        <v>48</v>
      </c>
      <c r="P15" s="5" t="s">
        <v>144</v>
      </c>
      <c r="Q15" s="5" t="s">
        <v>50</v>
      </c>
      <c r="R15" s="7"/>
      <c r="S15" s="7"/>
    </row>
    <row r="16" customFormat="false" ht="60" hidden="false" customHeight="true" outlineLevel="0" collapsed="false">
      <c r="A16" s="5" t="s">
        <v>145</v>
      </c>
      <c r="B16" s="6" t="s">
        <v>146</v>
      </c>
      <c r="C16" s="5" t="s">
        <v>147</v>
      </c>
      <c r="D16" s="5" t="s">
        <v>39</v>
      </c>
      <c r="E16" s="5" t="s">
        <v>148</v>
      </c>
      <c r="F16" s="5" t="s">
        <v>41</v>
      </c>
      <c r="G16" s="5" t="s">
        <v>112</v>
      </c>
      <c r="H16" s="5" t="s">
        <v>149</v>
      </c>
      <c r="I16" s="5" t="s">
        <v>150</v>
      </c>
      <c r="J16" s="5" t="s">
        <v>115</v>
      </c>
      <c r="K16" s="5" t="s">
        <v>46</v>
      </c>
      <c r="L16" s="5" t="s">
        <v>47</v>
      </c>
      <c r="M16" s="5" t="s">
        <v>39</v>
      </c>
      <c r="N16" s="5" t="s">
        <v>47</v>
      </c>
      <c r="O16" s="5" t="s">
        <v>48</v>
      </c>
      <c r="P16" s="5" t="s">
        <v>151</v>
      </c>
      <c r="Q16" s="5" t="s">
        <v>50</v>
      </c>
      <c r="R16" s="7"/>
      <c r="S16" s="7"/>
    </row>
    <row r="17" customFormat="false" ht="60" hidden="false" customHeight="true" outlineLevel="0" collapsed="false">
      <c r="A17" s="5" t="s">
        <v>145</v>
      </c>
      <c r="B17" s="5" t="s">
        <v>152</v>
      </c>
      <c r="C17" s="5" t="s">
        <v>153</v>
      </c>
      <c r="D17" s="5" t="s">
        <v>47</v>
      </c>
      <c r="E17" s="5" t="s">
        <v>154</v>
      </c>
      <c r="F17" s="5" t="s">
        <v>41</v>
      </c>
      <c r="G17" s="5" t="s">
        <v>155</v>
      </c>
      <c r="H17" s="5" t="s">
        <v>156</v>
      </c>
      <c r="I17" s="5" t="s">
        <v>157</v>
      </c>
      <c r="J17" s="5" t="s">
        <v>158</v>
      </c>
      <c r="K17" s="5" t="s">
        <v>46</v>
      </c>
      <c r="L17" s="5" t="s">
        <v>47</v>
      </c>
      <c r="M17" s="5" t="s">
        <v>39</v>
      </c>
      <c r="N17" s="5" t="s">
        <v>47</v>
      </c>
      <c r="O17" s="5" t="s">
        <v>123</v>
      </c>
      <c r="P17" s="5" t="s">
        <v>159</v>
      </c>
      <c r="Q17" s="5" t="s">
        <v>50</v>
      </c>
      <c r="R17" s="7"/>
      <c r="S17" s="7"/>
    </row>
    <row r="18" customFormat="false" ht="60" hidden="false" customHeight="true" outlineLevel="0" collapsed="false">
      <c r="A18" s="5" t="s">
        <v>160</v>
      </c>
      <c r="B18" s="6" t="s">
        <v>160</v>
      </c>
      <c r="C18" s="5" t="s">
        <v>161</v>
      </c>
      <c r="D18" s="5" t="s">
        <v>39</v>
      </c>
      <c r="E18" s="5" t="s">
        <v>162</v>
      </c>
      <c r="F18" s="5" t="s">
        <v>41</v>
      </c>
      <c r="G18" s="5" t="s">
        <v>163</v>
      </c>
      <c r="H18" s="5" t="s">
        <v>164</v>
      </c>
      <c r="I18" s="5" t="s">
        <v>165</v>
      </c>
      <c r="J18" s="5" t="s">
        <v>166</v>
      </c>
      <c r="K18" s="5" t="s">
        <v>46</v>
      </c>
      <c r="L18" s="5" t="s">
        <v>39</v>
      </c>
      <c r="M18" s="5" t="s">
        <v>47</v>
      </c>
      <c r="N18" s="5" t="s">
        <v>47</v>
      </c>
      <c r="O18" s="5" t="s">
        <v>48</v>
      </c>
      <c r="P18" s="5" t="s">
        <v>167</v>
      </c>
      <c r="Q18" s="5" t="s">
        <v>50</v>
      </c>
      <c r="R18" s="7"/>
      <c r="S18" s="7"/>
    </row>
    <row r="19" customFormat="false" ht="60" hidden="false" customHeight="true" outlineLevel="0" collapsed="false">
      <c r="A19" s="5" t="s">
        <v>168</v>
      </c>
      <c r="B19" s="6" t="s">
        <v>168</v>
      </c>
      <c r="C19" s="5" t="s">
        <v>169</v>
      </c>
      <c r="D19" s="5" t="s">
        <v>39</v>
      </c>
      <c r="E19" s="5" t="s">
        <v>170</v>
      </c>
      <c r="F19" s="5" t="s">
        <v>41</v>
      </c>
      <c r="G19" s="5" t="s">
        <v>171</v>
      </c>
      <c r="H19" s="5" t="s">
        <v>172</v>
      </c>
      <c r="I19" s="5" t="s">
        <v>173</v>
      </c>
      <c r="J19" s="5" t="s">
        <v>174</v>
      </c>
      <c r="K19" s="5" t="s">
        <v>46</v>
      </c>
      <c r="L19" s="5" t="s">
        <v>47</v>
      </c>
      <c r="M19" s="5" t="s">
        <v>39</v>
      </c>
      <c r="N19" s="5" t="s">
        <v>47</v>
      </c>
      <c r="O19" s="5" t="s">
        <v>48</v>
      </c>
      <c r="P19" s="5" t="s">
        <v>175</v>
      </c>
      <c r="Q19" s="5" t="s">
        <v>50</v>
      </c>
      <c r="R19" s="7"/>
      <c r="S19" s="7"/>
    </row>
    <row r="20" customFormat="false" ht="60" hidden="false" customHeight="true" outlineLevel="0" collapsed="false">
      <c r="A20" s="5" t="s">
        <v>176</v>
      </c>
      <c r="B20" s="6" t="s">
        <v>176</v>
      </c>
      <c r="C20" s="5" t="s">
        <v>177</v>
      </c>
      <c r="D20" s="5" t="s">
        <v>39</v>
      </c>
      <c r="E20" s="5" t="s">
        <v>178</v>
      </c>
      <c r="F20" s="5" t="s">
        <v>41</v>
      </c>
      <c r="G20" s="5" t="s">
        <v>171</v>
      </c>
      <c r="H20" s="5" t="s">
        <v>179</v>
      </c>
      <c r="I20" s="5" t="s">
        <v>180</v>
      </c>
      <c r="J20" s="5" t="s">
        <v>181</v>
      </c>
      <c r="K20" s="5" t="s">
        <v>46</v>
      </c>
      <c r="L20" s="5" t="s">
        <v>47</v>
      </c>
      <c r="M20" s="5" t="s">
        <v>39</v>
      </c>
      <c r="N20" s="5" t="s">
        <v>47</v>
      </c>
      <c r="O20" s="5" t="s">
        <v>48</v>
      </c>
      <c r="P20" s="5" t="s">
        <v>182</v>
      </c>
      <c r="Q20" s="5" t="s">
        <v>50</v>
      </c>
      <c r="R20" s="7"/>
      <c r="S20" s="7"/>
    </row>
    <row r="21" customFormat="false" ht="60" hidden="false" customHeight="true" outlineLevel="0" collapsed="false">
      <c r="A21" s="5" t="s">
        <v>183</v>
      </c>
      <c r="B21" s="6" t="s">
        <v>183</v>
      </c>
      <c r="C21" s="5" t="s">
        <v>184</v>
      </c>
      <c r="D21" s="5" t="s">
        <v>39</v>
      </c>
      <c r="E21" s="5" t="s">
        <v>185</v>
      </c>
      <c r="F21" s="5" t="s">
        <v>41</v>
      </c>
      <c r="G21" s="5" t="s">
        <v>186</v>
      </c>
      <c r="H21" s="5" t="s">
        <v>187</v>
      </c>
      <c r="I21" s="5" t="s">
        <v>188</v>
      </c>
      <c r="J21" s="5" t="s">
        <v>189</v>
      </c>
      <c r="K21" s="5" t="s">
        <v>46</v>
      </c>
      <c r="L21" s="5" t="s">
        <v>47</v>
      </c>
      <c r="M21" s="5" t="s">
        <v>39</v>
      </c>
      <c r="N21" s="5" t="s">
        <v>39</v>
      </c>
      <c r="O21" s="5" t="s">
        <v>48</v>
      </c>
      <c r="P21" s="5" t="s">
        <v>190</v>
      </c>
      <c r="Q21" s="5" t="s">
        <v>59</v>
      </c>
      <c r="R21" s="7"/>
      <c r="S21" s="7"/>
    </row>
    <row r="22" customFormat="false" ht="60" hidden="false" customHeight="true" outlineLevel="0" collapsed="false">
      <c r="A22" s="5" t="s">
        <v>191</v>
      </c>
      <c r="B22" s="6" t="s">
        <v>191</v>
      </c>
      <c r="C22" s="5" t="s">
        <v>192</v>
      </c>
      <c r="D22" s="5" t="s">
        <v>39</v>
      </c>
      <c r="E22" s="5" t="s">
        <v>193</v>
      </c>
      <c r="F22" s="5" t="s">
        <v>139</v>
      </c>
      <c r="G22" s="5" t="s">
        <v>194</v>
      </c>
      <c r="H22" s="5" t="s">
        <v>195</v>
      </c>
      <c r="I22" s="5" t="s">
        <v>196</v>
      </c>
      <c r="J22" s="5" t="s">
        <v>197</v>
      </c>
      <c r="K22" s="5" t="s">
        <v>46</v>
      </c>
      <c r="L22" s="5" t="s">
        <v>47</v>
      </c>
      <c r="M22" s="5" t="s">
        <v>47</v>
      </c>
      <c r="N22" s="5" t="s">
        <v>47</v>
      </c>
      <c r="O22" s="5" t="s">
        <v>48</v>
      </c>
      <c r="P22" s="5" t="s">
        <v>198</v>
      </c>
      <c r="Q22" s="5" t="s">
        <v>50</v>
      </c>
      <c r="R22" s="7"/>
      <c r="S22" s="7"/>
    </row>
    <row r="23" customFormat="false" ht="60" hidden="false" customHeight="true" outlineLevel="0" collapsed="false">
      <c r="A23" s="5" t="s">
        <v>199</v>
      </c>
      <c r="B23" s="6" t="s">
        <v>200</v>
      </c>
      <c r="C23" s="5" t="s">
        <v>201</v>
      </c>
      <c r="D23" s="5" t="s">
        <v>39</v>
      </c>
      <c r="E23" s="5" t="s">
        <v>202</v>
      </c>
      <c r="F23" s="5" t="s">
        <v>41</v>
      </c>
      <c r="G23" s="5" t="s">
        <v>203</v>
      </c>
      <c r="H23" s="5" t="s">
        <v>204</v>
      </c>
      <c r="I23" s="5" t="s">
        <v>205</v>
      </c>
      <c r="J23" s="5" t="s">
        <v>206</v>
      </c>
      <c r="K23" s="5" t="s">
        <v>46</v>
      </c>
      <c r="L23" s="5" t="s">
        <v>47</v>
      </c>
      <c r="M23" s="5" t="s">
        <v>47</v>
      </c>
      <c r="N23" s="5" t="s">
        <v>39</v>
      </c>
      <c r="O23" s="5" t="s">
        <v>48</v>
      </c>
      <c r="P23" s="5" t="s">
        <v>207</v>
      </c>
      <c r="Q23" s="5" t="s">
        <v>59</v>
      </c>
      <c r="R23" s="7"/>
      <c r="S23" s="7"/>
    </row>
    <row r="24" customFormat="false" ht="60" hidden="false" customHeight="true" outlineLevel="0" collapsed="false">
      <c r="A24" s="5" t="s">
        <v>199</v>
      </c>
      <c r="B24" s="5" t="s">
        <v>208</v>
      </c>
      <c r="C24" s="5" t="s">
        <v>209</v>
      </c>
      <c r="D24" s="5" t="s">
        <v>47</v>
      </c>
      <c r="E24" s="5" t="s">
        <v>210</v>
      </c>
      <c r="F24" s="5" t="s">
        <v>41</v>
      </c>
      <c r="G24" s="5" t="s">
        <v>203</v>
      </c>
      <c r="H24" s="5" t="s">
        <v>204</v>
      </c>
      <c r="I24" s="5" t="s">
        <v>211</v>
      </c>
      <c r="J24" s="5" t="s">
        <v>212</v>
      </c>
      <c r="K24" s="5" t="s">
        <v>46</v>
      </c>
      <c r="L24" s="5" t="s">
        <v>47</v>
      </c>
      <c r="M24" s="5" t="s">
        <v>47</v>
      </c>
      <c r="N24" s="5" t="s">
        <v>39</v>
      </c>
      <c r="O24" s="5" t="s">
        <v>123</v>
      </c>
      <c r="P24" s="5" t="s">
        <v>213</v>
      </c>
      <c r="Q24" s="5" t="s">
        <v>50</v>
      </c>
      <c r="R24" s="7"/>
      <c r="S24" s="7"/>
    </row>
    <row r="25" customFormat="false" ht="60" hidden="false" customHeight="true" outlineLevel="0" collapsed="false">
      <c r="A25" s="5" t="s">
        <v>199</v>
      </c>
      <c r="B25" s="5" t="s">
        <v>214</v>
      </c>
      <c r="C25" s="5" t="s">
        <v>215</v>
      </c>
      <c r="D25" s="5" t="s">
        <v>47</v>
      </c>
      <c r="E25" s="5" t="s">
        <v>216</v>
      </c>
      <c r="F25" s="5" t="s">
        <v>41</v>
      </c>
      <c r="G25" s="5" t="s">
        <v>203</v>
      </c>
      <c r="H25" s="5" t="s">
        <v>204</v>
      </c>
      <c r="I25" s="5" t="s">
        <v>217</v>
      </c>
      <c r="J25" s="5" t="s">
        <v>218</v>
      </c>
      <c r="K25" s="5" t="s">
        <v>46</v>
      </c>
      <c r="L25" s="5" t="s">
        <v>47</v>
      </c>
      <c r="M25" s="5" t="s">
        <v>47</v>
      </c>
      <c r="N25" s="5" t="s">
        <v>39</v>
      </c>
      <c r="O25" s="5" t="s">
        <v>123</v>
      </c>
      <c r="P25" s="5" t="s">
        <v>219</v>
      </c>
      <c r="Q25" s="5" t="s">
        <v>50</v>
      </c>
      <c r="R25" s="7"/>
      <c r="S25" s="7"/>
    </row>
    <row r="26" customFormat="false" ht="60" hidden="false" customHeight="true" outlineLevel="0" collapsed="false">
      <c r="A26" s="5" t="s">
        <v>199</v>
      </c>
      <c r="B26" s="5" t="s">
        <v>220</v>
      </c>
      <c r="C26" s="5" t="s">
        <v>221</v>
      </c>
      <c r="D26" s="5" t="s">
        <v>47</v>
      </c>
      <c r="E26" s="5" t="s">
        <v>222</v>
      </c>
      <c r="F26" s="5" t="s">
        <v>41</v>
      </c>
      <c r="G26" s="5" t="s">
        <v>203</v>
      </c>
      <c r="H26" s="5" t="s">
        <v>204</v>
      </c>
      <c r="I26" s="5" t="s">
        <v>223</v>
      </c>
      <c r="J26" s="5" t="s">
        <v>224</v>
      </c>
      <c r="K26" s="5" t="s">
        <v>46</v>
      </c>
      <c r="L26" s="5" t="s">
        <v>47</v>
      </c>
      <c r="M26" s="5" t="s">
        <v>47</v>
      </c>
      <c r="N26" s="5" t="s">
        <v>39</v>
      </c>
      <c r="O26" s="5" t="s">
        <v>123</v>
      </c>
      <c r="P26" s="5" t="s">
        <v>225</v>
      </c>
      <c r="Q26" s="5" t="s">
        <v>50</v>
      </c>
      <c r="R26" s="7"/>
      <c r="S26" s="7"/>
    </row>
    <row r="27" customFormat="false" ht="60" hidden="false" customHeight="true" outlineLevel="0" collapsed="false">
      <c r="A27" s="5" t="s">
        <v>199</v>
      </c>
      <c r="B27" s="5" t="s">
        <v>226</v>
      </c>
      <c r="C27" s="5" t="s">
        <v>227</v>
      </c>
      <c r="D27" s="5" t="s">
        <v>47</v>
      </c>
      <c r="E27" s="5" t="s">
        <v>228</v>
      </c>
      <c r="F27" s="5" t="s">
        <v>41</v>
      </c>
      <c r="G27" s="5" t="s">
        <v>203</v>
      </c>
      <c r="H27" s="5" t="s">
        <v>204</v>
      </c>
      <c r="I27" s="5" t="s">
        <v>229</v>
      </c>
      <c r="J27" s="5" t="s">
        <v>230</v>
      </c>
      <c r="K27" s="5" t="s">
        <v>46</v>
      </c>
      <c r="L27" s="5" t="s">
        <v>47</v>
      </c>
      <c r="M27" s="5" t="s">
        <v>47</v>
      </c>
      <c r="N27" s="5" t="s">
        <v>39</v>
      </c>
      <c r="O27" s="5" t="s">
        <v>123</v>
      </c>
      <c r="P27" s="5" t="s">
        <v>231</v>
      </c>
      <c r="Q27" s="5" t="s">
        <v>50</v>
      </c>
      <c r="R27" s="7"/>
      <c r="S27" s="7"/>
    </row>
    <row r="28" customFormat="false" ht="60" hidden="false" customHeight="true" outlineLevel="0" collapsed="false">
      <c r="A28" s="5" t="s">
        <v>199</v>
      </c>
      <c r="B28" s="5" t="s">
        <v>232</v>
      </c>
      <c r="C28" s="5" t="s">
        <v>233</v>
      </c>
      <c r="D28" s="5" t="s">
        <v>47</v>
      </c>
      <c r="E28" s="5" t="s">
        <v>234</v>
      </c>
      <c r="F28" s="5" t="s">
        <v>41</v>
      </c>
      <c r="G28" s="5" t="s">
        <v>203</v>
      </c>
      <c r="H28" s="5" t="s">
        <v>204</v>
      </c>
      <c r="I28" s="5" t="s">
        <v>235</v>
      </c>
      <c r="J28" s="5" t="s">
        <v>236</v>
      </c>
      <c r="K28" s="5" t="s">
        <v>46</v>
      </c>
      <c r="L28" s="5" t="s">
        <v>47</v>
      </c>
      <c r="M28" s="5" t="s">
        <v>47</v>
      </c>
      <c r="N28" s="5" t="s">
        <v>39</v>
      </c>
      <c r="O28" s="5" t="s">
        <v>123</v>
      </c>
      <c r="P28" s="5" t="s">
        <v>237</v>
      </c>
      <c r="Q28" s="5" t="s">
        <v>50</v>
      </c>
      <c r="R28" s="7"/>
      <c r="S28" s="7"/>
    </row>
    <row r="29" customFormat="false" ht="60" hidden="false" customHeight="true" outlineLevel="0" collapsed="false">
      <c r="A29" s="5" t="s">
        <v>238</v>
      </c>
      <c r="B29" s="6" t="s">
        <v>238</v>
      </c>
      <c r="C29" s="5" t="s">
        <v>239</v>
      </c>
      <c r="D29" s="5" t="s">
        <v>39</v>
      </c>
      <c r="E29" s="5" t="s">
        <v>240</v>
      </c>
      <c r="F29" s="5" t="s">
        <v>41</v>
      </c>
      <c r="G29" s="5" t="s">
        <v>241</v>
      </c>
      <c r="H29" s="5" t="s">
        <v>242</v>
      </c>
      <c r="I29" s="5" t="s">
        <v>243</v>
      </c>
      <c r="J29" s="5" t="s">
        <v>244</v>
      </c>
      <c r="K29" s="5" t="s">
        <v>46</v>
      </c>
      <c r="L29" s="5" t="s">
        <v>47</v>
      </c>
      <c r="M29" s="5" t="s">
        <v>47</v>
      </c>
      <c r="N29" s="5" t="s">
        <v>39</v>
      </c>
      <c r="O29" s="5" t="s">
        <v>48</v>
      </c>
      <c r="P29" s="5" t="s">
        <v>245</v>
      </c>
      <c r="Q29" s="5" t="s">
        <v>59</v>
      </c>
      <c r="R29" s="7"/>
      <c r="S29" s="7"/>
    </row>
    <row r="30" customFormat="false" ht="60" hidden="false" customHeight="true" outlineLevel="0" collapsed="false">
      <c r="A30" s="5" t="s">
        <v>246</v>
      </c>
      <c r="B30" s="6" t="s">
        <v>247</v>
      </c>
      <c r="C30" s="5" t="s">
        <v>248</v>
      </c>
      <c r="D30" s="5" t="s">
        <v>39</v>
      </c>
      <c r="E30" s="5" t="s">
        <v>249</v>
      </c>
      <c r="F30" s="5" t="s">
        <v>41</v>
      </c>
      <c r="G30" s="5" t="s">
        <v>171</v>
      </c>
      <c r="H30" s="5" t="s">
        <v>250</v>
      </c>
      <c r="I30" s="5" t="s">
        <v>251</v>
      </c>
      <c r="J30" s="5" t="s">
        <v>181</v>
      </c>
      <c r="K30" s="5" t="s">
        <v>46</v>
      </c>
      <c r="L30" s="5" t="s">
        <v>47</v>
      </c>
      <c r="M30" s="5" t="s">
        <v>39</v>
      </c>
      <c r="N30" s="5" t="s">
        <v>39</v>
      </c>
      <c r="O30" s="5" t="s">
        <v>48</v>
      </c>
      <c r="P30" s="5" t="s">
        <v>252</v>
      </c>
      <c r="Q30" s="5" t="s">
        <v>59</v>
      </c>
      <c r="R30" s="7"/>
      <c r="S30" s="7"/>
    </row>
    <row r="31" customFormat="false" ht="60" hidden="false" customHeight="true" outlineLevel="0" collapsed="false">
      <c r="A31" s="5" t="s">
        <v>246</v>
      </c>
      <c r="B31" s="5" t="s">
        <v>253</v>
      </c>
      <c r="C31" s="5" t="s">
        <v>254</v>
      </c>
      <c r="D31" s="5" t="s">
        <v>47</v>
      </c>
      <c r="E31" s="5" t="s">
        <v>255</v>
      </c>
      <c r="F31" s="5" t="s">
        <v>41</v>
      </c>
      <c r="G31" s="5" t="s">
        <v>171</v>
      </c>
      <c r="H31" s="5" t="s">
        <v>256</v>
      </c>
      <c r="I31" s="5" t="s">
        <v>257</v>
      </c>
      <c r="J31" s="5" t="s">
        <v>181</v>
      </c>
      <c r="K31" s="5" t="s">
        <v>46</v>
      </c>
      <c r="L31" s="5" t="s">
        <v>47</v>
      </c>
      <c r="M31" s="5" t="s">
        <v>39</v>
      </c>
      <c r="N31" s="5" t="s">
        <v>39</v>
      </c>
      <c r="O31" s="5" t="s">
        <v>123</v>
      </c>
      <c r="P31" s="5" t="s">
        <v>258</v>
      </c>
      <c r="Q31" s="5" t="s">
        <v>50</v>
      </c>
      <c r="R31" s="7"/>
      <c r="S31" s="7"/>
    </row>
    <row r="32" customFormat="false" ht="60" hidden="false" customHeight="true" outlineLevel="0" collapsed="false">
      <c r="A32" s="5" t="s">
        <v>246</v>
      </c>
      <c r="B32" s="5" t="s">
        <v>259</v>
      </c>
      <c r="C32" s="5" t="s">
        <v>260</v>
      </c>
      <c r="D32" s="5" t="s">
        <v>47</v>
      </c>
      <c r="E32" s="5" t="s">
        <v>261</v>
      </c>
      <c r="F32" s="5" t="s">
        <v>41</v>
      </c>
      <c r="G32" s="5" t="s">
        <v>112</v>
      </c>
      <c r="H32" s="5" t="s">
        <v>262</v>
      </c>
      <c r="I32" s="5" t="s">
        <v>263</v>
      </c>
      <c r="J32" s="5" t="s">
        <v>264</v>
      </c>
      <c r="K32" s="5" t="s">
        <v>46</v>
      </c>
      <c r="L32" s="5" t="s">
        <v>47</v>
      </c>
      <c r="M32" s="5" t="s">
        <v>39</v>
      </c>
      <c r="N32" s="5" t="s">
        <v>47</v>
      </c>
      <c r="O32" s="5" t="s">
        <v>123</v>
      </c>
      <c r="P32" s="5" t="s">
        <v>265</v>
      </c>
      <c r="Q32" s="5" t="s">
        <v>50</v>
      </c>
      <c r="R32" s="7"/>
      <c r="S32" s="7"/>
    </row>
    <row r="33" customFormat="false" ht="60" hidden="false" customHeight="true" outlineLevel="0" collapsed="false">
      <c r="A33" s="5" t="s">
        <v>246</v>
      </c>
      <c r="B33" s="5" t="s">
        <v>266</v>
      </c>
      <c r="C33" s="5" t="s">
        <v>267</v>
      </c>
      <c r="D33" s="5" t="s">
        <v>47</v>
      </c>
      <c r="E33" s="5" t="s">
        <v>268</v>
      </c>
      <c r="F33" s="5" t="s">
        <v>41</v>
      </c>
      <c r="G33" s="5" t="s">
        <v>112</v>
      </c>
      <c r="H33" s="5" t="s">
        <v>269</v>
      </c>
      <c r="I33" s="5" t="s">
        <v>270</v>
      </c>
      <c r="J33" s="5" t="s">
        <v>115</v>
      </c>
      <c r="K33" s="5" t="s">
        <v>46</v>
      </c>
      <c r="L33" s="5" t="s">
        <v>47</v>
      </c>
      <c r="M33" s="5" t="s">
        <v>39</v>
      </c>
      <c r="N33" s="5" t="s">
        <v>39</v>
      </c>
      <c r="O33" s="5" t="s">
        <v>123</v>
      </c>
      <c r="P33" s="5" t="s">
        <v>271</v>
      </c>
      <c r="Q33" s="5" t="s">
        <v>50</v>
      </c>
      <c r="R33" s="7"/>
      <c r="S33" s="7"/>
    </row>
    <row r="34" customFormat="false" ht="60" hidden="false" customHeight="true" outlineLevel="0" collapsed="false">
      <c r="A34" s="5" t="s">
        <v>272</v>
      </c>
      <c r="B34" s="6" t="s">
        <v>272</v>
      </c>
      <c r="C34" s="5" t="s">
        <v>273</v>
      </c>
      <c r="D34" s="5" t="s">
        <v>39</v>
      </c>
      <c r="E34" s="5" t="s">
        <v>274</v>
      </c>
      <c r="F34" s="5" t="s">
        <v>275</v>
      </c>
      <c r="G34" s="5" t="s">
        <v>276</v>
      </c>
      <c r="H34" s="5" t="s">
        <v>277</v>
      </c>
      <c r="I34" s="5" t="s">
        <v>278</v>
      </c>
      <c r="J34" s="5" t="s">
        <v>279</v>
      </c>
      <c r="K34" s="5" t="s">
        <v>46</v>
      </c>
      <c r="L34" s="5" t="s">
        <v>47</v>
      </c>
      <c r="M34" s="5" t="s">
        <v>47</v>
      </c>
      <c r="N34" s="5" t="s">
        <v>47</v>
      </c>
      <c r="O34" s="5" t="s">
        <v>133</v>
      </c>
      <c r="P34" s="5" t="s">
        <v>280</v>
      </c>
      <c r="Q34" s="5" t="s">
        <v>135</v>
      </c>
      <c r="R34" s="7"/>
      <c r="S34" s="7"/>
    </row>
    <row r="35" customFormat="false" ht="60" hidden="false" customHeight="true" outlineLevel="0" collapsed="false">
      <c r="A35" s="5" t="s">
        <v>281</v>
      </c>
      <c r="B35" s="6" t="s">
        <v>281</v>
      </c>
      <c r="C35" s="5" t="s">
        <v>282</v>
      </c>
      <c r="D35" s="5" t="s">
        <v>39</v>
      </c>
      <c r="E35" s="5" t="s">
        <v>283</v>
      </c>
      <c r="F35" s="5" t="s">
        <v>275</v>
      </c>
      <c r="G35" s="5" t="s">
        <v>284</v>
      </c>
      <c r="H35" s="5" t="s">
        <v>285</v>
      </c>
      <c r="I35" s="5" t="s">
        <v>286</v>
      </c>
      <c r="J35" s="5" t="s">
        <v>287</v>
      </c>
      <c r="K35" s="5" t="s">
        <v>46</v>
      </c>
      <c r="L35" s="5" t="s">
        <v>47</v>
      </c>
      <c r="M35" s="5" t="s">
        <v>47</v>
      </c>
      <c r="N35" s="5" t="s">
        <v>47</v>
      </c>
      <c r="O35" s="5" t="s">
        <v>133</v>
      </c>
      <c r="P35" s="5" t="s">
        <v>288</v>
      </c>
      <c r="Q35" s="5" t="s">
        <v>135</v>
      </c>
      <c r="R35" s="7"/>
      <c r="S35" s="7"/>
    </row>
    <row r="36" customFormat="false" ht="60" hidden="false" customHeight="true" outlineLevel="0" collapsed="false">
      <c r="A36" s="5" t="s">
        <v>289</v>
      </c>
      <c r="B36" s="6" t="s">
        <v>289</v>
      </c>
      <c r="C36" s="5" t="s">
        <v>290</v>
      </c>
      <c r="D36" s="5" t="s">
        <v>39</v>
      </c>
      <c r="E36" s="5" t="s">
        <v>291</v>
      </c>
      <c r="F36" s="5" t="s">
        <v>41</v>
      </c>
      <c r="G36" s="5" t="s">
        <v>292</v>
      </c>
      <c r="H36" s="5" t="s">
        <v>293</v>
      </c>
      <c r="I36" s="5" t="s">
        <v>294</v>
      </c>
      <c r="J36" s="5" t="s">
        <v>295</v>
      </c>
      <c r="K36" s="5" t="s">
        <v>46</v>
      </c>
      <c r="L36" s="5" t="s">
        <v>39</v>
      </c>
      <c r="M36" s="5" t="s">
        <v>47</v>
      </c>
      <c r="N36" s="5" t="s">
        <v>39</v>
      </c>
      <c r="O36" s="5" t="s">
        <v>48</v>
      </c>
      <c r="P36" s="5" t="s">
        <v>296</v>
      </c>
      <c r="Q36" s="5" t="s">
        <v>59</v>
      </c>
      <c r="R36" s="7"/>
      <c r="S36" s="7"/>
    </row>
  </sheetData>
  <autoFilter ref="A1:S36"/>
  <conditionalFormatting sqref="A2:S36">
    <cfRule type="expression" priority="2" aboveAverage="0" equalAverage="0" bottom="0" percent="0" rank="0" text="" dxfId="5">
      <formula>$R2&lt;&gt;""</formula>
    </cfRule>
  </conditionalFormatting>
  <dataValidations count="1">
    <dataValidation allowBlank="true" error="Choisissez une valeur dans la liste : retenu, retenu_socle, ecarte, a_discuter" errorStyle="stop" errorTitle="Valeur non admise" operator="between" showDropDown="false" showErrorMessage="true" showInputMessage="false" sqref="R2:R36" type="list">
      <formula1>"retenu,retenu_socle,ecarte,a_discuter"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8"/>
  </cols>
  <sheetData>
    <row r="1" customFormat="false" ht="15" hidden="false" customHeight="false" outlineLevel="0" collapsed="false">
      <c r="A1" s="8" t="s">
        <v>297</v>
      </c>
      <c r="B1" s="9" t="s">
        <v>298</v>
      </c>
    </row>
    <row r="2" customFormat="false" ht="15" hidden="false" customHeight="false" outlineLevel="0" collapsed="false">
      <c r="A2" s="8" t="s">
        <v>299</v>
      </c>
      <c r="B2" s="9" t="n">
        <f aca="false">COUNTA(Validation!$B$2:$B$36)</f>
        <v>35</v>
      </c>
    </row>
    <row r="3" customFormat="false" ht="15" hidden="false" customHeight="false" outlineLevel="0" collapsed="false">
      <c r="A3" s="8" t="s">
        <v>300</v>
      </c>
      <c r="B3" s="9" t="n">
        <f aca="false">SUMPRODUCT((Validation!$A$2:$A$36&lt;&gt;"")/COUNTIF(Validation!$A$2:$A$36,Validation!$A$2:$A$36&amp;""))</f>
        <v>25</v>
      </c>
    </row>
    <row r="4" customFormat="false" ht="15" hidden="false" customHeight="false" outlineLevel="0" collapsed="false">
      <c r="A4" s="9"/>
      <c r="B4" s="9"/>
    </row>
    <row r="5" customFormat="false" ht="15" hidden="false" customHeight="false" outlineLevel="0" collapsed="false">
      <c r="A5" s="8" t="s">
        <v>301</v>
      </c>
      <c r="B5" s="9"/>
    </row>
    <row r="6" customFormat="false" ht="15" hidden="false" customHeight="false" outlineLevel="0" collapsed="false">
      <c r="A6" s="9" t="s">
        <v>302</v>
      </c>
      <c r="B6" s="9" t="n">
        <f aca="false">COUNTIF(Validation!$O$2:$O$36,"retenir")</f>
        <v>22</v>
      </c>
    </row>
    <row r="7" customFormat="false" ht="15" hidden="false" customHeight="false" outlineLevel="0" collapsed="false">
      <c r="A7" s="9" t="s">
        <v>303</v>
      </c>
      <c r="B7" s="9" t="n">
        <f aca="false">COUNTIF(Validation!$O$2:$O$36,"retenir_variante")</f>
        <v>10</v>
      </c>
    </row>
    <row r="8" customFormat="false" ht="15" hidden="false" customHeight="false" outlineLevel="0" collapsed="false">
      <c r="A8" s="9" t="s">
        <v>304</v>
      </c>
      <c r="B8" s="9" t="n">
        <f aca="false">COUNTIF(Validation!$O$2:$O$36,"ecarter")</f>
        <v>3</v>
      </c>
    </row>
    <row r="9" customFormat="false" ht="15" hidden="false" customHeight="false" outlineLevel="0" collapsed="false">
      <c r="A9" s="9"/>
      <c r="B9" s="9"/>
    </row>
    <row r="10" customFormat="false" ht="15" hidden="false" customHeight="false" outlineLevel="0" collapsed="false">
      <c r="A10" s="8" t="s">
        <v>305</v>
      </c>
      <c r="B10" s="9"/>
    </row>
    <row r="11" customFormat="false" ht="15" hidden="false" customHeight="false" outlineLevel="0" collapsed="false">
      <c r="A11" s="9" t="s">
        <v>306</v>
      </c>
      <c r="B11" s="9" t="n">
        <f aca="false">COUNTIF(Validation!$Q$2:$Q$36,"retenu_socle")</f>
        <v>6</v>
      </c>
    </row>
    <row r="12" customFormat="false" ht="15" hidden="false" customHeight="false" outlineLevel="0" collapsed="false">
      <c r="A12" s="9" t="s">
        <v>307</v>
      </c>
      <c r="B12" s="9" t="n">
        <f aca="false">COUNTIF(Validation!$Q$2:$Q$36,"retenu")</f>
        <v>26</v>
      </c>
    </row>
    <row r="13" customFormat="false" ht="15" hidden="false" customHeight="false" outlineLevel="0" collapsed="false">
      <c r="A13" s="9" t="s">
        <v>308</v>
      </c>
      <c r="B13" s="9" t="n">
        <f aca="false">COUNTIF(Validation!$Q$2:$Q$36,"ecarte")</f>
        <v>3</v>
      </c>
    </row>
    <row r="14" customFormat="false" ht="15" hidden="false" customHeight="false" outlineLevel="0" collapsed="false">
      <c r="A14" s="9" t="s">
        <v>309</v>
      </c>
      <c r="B14" s="9" t="n">
        <f aca="false">COUNTIF(Validation!$Q$2:$Q$36,"a_discuter")</f>
        <v>0</v>
      </c>
    </row>
    <row r="15" customFormat="false" ht="15" hidden="false" customHeight="false" outlineLevel="0" collapsed="false">
      <c r="A15" s="9"/>
      <c r="B15" s="9"/>
    </row>
    <row r="16" customFormat="false" ht="15" hidden="false" customHeight="false" outlineLevel="0" collapsed="false">
      <c r="A16" s="8" t="s">
        <v>310</v>
      </c>
      <c r="B16" s="9" t="n">
        <f aca="false">COUNTA(Validation!$R$2:$R$36)</f>
        <v>0</v>
      </c>
    </row>
    <row r="17" customFormat="false" ht="15" hidden="false" customHeight="false" outlineLevel="0" collapsed="false">
      <c r="A17" s="9" t="s">
        <v>311</v>
      </c>
      <c r="B17" s="9" t="n">
        <f aca="false">COUNTIF(Validation!$R$2:$R$36,"retenu_socle")</f>
        <v>0</v>
      </c>
    </row>
    <row r="18" customFormat="false" ht="15" hidden="false" customHeight="false" outlineLevel="0" collapsed="false">
      <c r="A18" s="9" t="s">
        <v>312</v>
      </c>
      <c r="B18" s="9" t="n">
        <f aca="false">COUNTIF(Validation!$R$2:$R$36,"retenu")</f>
        <v>0</v>
      </c>
    </row>
    <row r="19" customFormat="false" ht="15" hidden="false" customHeight="false" outlineLevel="0" collapsed="false">
      <c r="A19" s="9" t="s">
        <v>313</v>
      </c>
      <c r="B19" s="9" t="n">
        <f aca="false">COUNTIF(Validation!$R$2:$R$36,"ecarte")</f>
        <v>0</v>
      </c>
    </row>
    <row r="20" customFormat="false" ht="15" hidden="false" customHeight="false" outlineLevel="0" collapsed="false">
      <c r="A20" s="9" t="s">
        <v>314</v>
      </c>
      <c r="B20" s="9" t="n">
        <f aca="false">COUNTIF(Validation!$R$2:$R$36,"a_discuter")</f>
        <v>0</v>
      </c>
    </row>
    <row r="22" customFormat="false" ht="15" hidden="false" customHeight="false" outlineLevel="0" collapsed="false">
      <c r="A22" s="10" t="s">
        <v>315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2026-10-15T12:18:17Z</dcterms:created>
  <dc:creator>openpyxl</dc:creator>
  <dc:description/>
  <dc:language>en-US</dc:language>
  <cp:lastModifiedBy/>
  <dcterms:modified xsi:type="dcterms:W3CDTF">2026-10-15T12:18:17Z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